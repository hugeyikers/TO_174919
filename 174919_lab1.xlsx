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xr:revisionPtr revIDLastSave="0" documentId="8_{8193206C-C800-4C8E-A160-AEF09C9B53F1}" xr6:coauthVersionLast="47" xr6:coauthVersionMax="47" xr10:uidLastSave="{00000000-0000-0000-0000-000000000000}"/>
  <bookViews>
    <workbookView xWindow="0" yWindow="0" windowWidth="16384" windowHeight="8192" tabRatio="500" firstSheet="4" activeTab="6" xr2:uid="{00000000-000D-0000-FFFF-FFFF00000000}"/>
  </bookViews>
  <sheets>
    <sheet name="Instrukcja" sheetId="1" r:id="rId1"/>
    <sheet name="Przegląd specyfikacji" sheetId="2" r:id="rId2"/>
    <sheet name="Warunki testowe" sheetId="3" r:id="rId3"/>
    <sheet name="Przypadki testowe" sheetId="4" r:id="rId4"/>
    <sheet name="Macierz śledzenia" sheetId="5" r:id="rId5"/>
    <sheet name="Sesja eksploracyjna" sheetId="6" r:id="rId6"/>
    <sheet name="Raporty defektów" sheetId="7" r:id="rId7"/>
    <sheet name="Lista kontrolna" sheetId="8" r:id="rId8"/>
    <sheet name="Raport z wykonania" sheetId="9" r:id="rId9"/>
  </sheets>
  <definedNames>
    <definedName name="_xlnm._FilterDatabase" localSheetId="1" hidden="1">'Przegląd specyfikacji'!$A$1:$E$1</definedName>
    <definedName name="_xlnm._FilterDatabase" localSheetId="2" hidden="1">'Warunki testowe'!$A$1:$E$1</definedName>
    <definedName name="_xlnm._FilterDatabase" localSheetId="3" hidden="1">'Przypadki testowe'!$A$1:$O$1</definedName>
    <definedName name="_xlnm._FilterDatabase" localSheetId="4" hidden="1">'Macierz śledzenia'!$A$1:$I$1</definedName>
    <definedName name="_xlnm._FilterDatabase" localSheetId="6" hidden="1">'Raporty defektów'!$A$1:$Q$1</definedName>
    <definedName name="_xlnm._FilterDatabase" localSheetId="7" hidden="1">'Lista kontrolna'!$A$1:$F$1</definedName>
    <definedName name="_xlnm._FilterDatabase" localSheetId="8" hidden="1">'Raport z wykonania'!$A$1:$C$1</definedName>
    <definedName name="_xlnm.Print_Titles" localSheetId="3">'Przypadki testowe'!$1:$1</definedName>
    <definedName name="_xlnm.Print_Titles" localSheetId="4">'Macierz śledzenia'!$1:$1</definedName>
    <definedName name="_xlnm.Print_Titles" localSheetId="6">'Raporty defektów'!$1:$1</definedName>
    <definedName name="_xlnm.Print_Titles" localSheetId="7">'Lista kontrolna'!$1:$1</definedName>
    <definedName name="_xlnm.Print_Titles" localSheetId="8">'Raport z wykonania'!$1:$1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9" l="1"/>
  <c r="B29" i="9"/>
  <c r="B28" i="9"/>
  <c r="B27" i="9"/>
  <c r="B26" i="9"/>
  <c r="B31" i="9" s="1"/>
  <c r="B24" i="9"/>
  <c r="B23" i="9"/>
  <c r="B22" i="9"/>
  <c r="B21" i="9"/>
  <c r="B17" i="9"/>
  <c r="B13" i="9"/>
  <c r="B12" i="9"/>
  <c r="B11" i="9"/>
  <c r="B10" i="9"/>
  <c r="B9" i="9"/>
  <c r="B8" i="9"/>
  <c r="H120" i="5"/>
  <c r="G120" i="5"/>
  <c r="F120" i="5"/>
  <c r="E120" i="5"/>
  <c r="H119" i="5"/>
  <c r="G119" i="5"/>
  <c r="F119" i="5"/>
  <c r="E119" i="5"/>
  <c r="H118" i="5"/>
  <c r="G118" i="5"/>
  <c r="F118" i="5"/>
  <c r="E118" i="5"/>
  <c r="H117" i="5"/>
  <c r="G117" i="5"/>
  <c r="F117" i="5"/>
  <c r="E117" i="5"/>
  <c r="H116" i="5"/>
  <c r="G116" i="5"/>
  <c r="F116" i="5"/>
  <c r="E116" i="5"/>
  <c r="H115" i="5"/>
  <c r="G115" i="5"/>
  <c r="F115" i="5"/>
  <c r="E115" i="5"/>
  <c r="H114" i="5"/>
  <c r="G114" i="5"/>
  <c r="F114" i="5"/>
  <c r="E114" i="5"/>
  <c r="H113" i="5"/>
  <c r="G113" i="5"/>
  <c r="F113" i="5"/>
  <c r="E113" i="5"/>
  <c r="H112" i="5"/>
  <c r="G112" i="5"/>
  <c r="F112" i="5"/>
  <c r="E112" i="5"/>
  <c r="H111" i="5"/>
  <c r="G111" i="5"/>
  <c r="F111" i="5"/>
  <c r="E111" i="5"/>
  <c r="H110" i="5"/>
  <c r="G110" i="5"/>
  <c r="F110" i="5"/>
  <c r="E110" i="5"/>
  <c r="H109" i="5"/>
  <c r="G109" i="5"/>
  <c r="F109" i="5"/>
  <c r="E109" i="5"/>
  <c r="H108" i="5"/>
  <c r="G108" i="5"/>
  <c r="F108" i="5"/>
  <c r="E108" i="5"/>
  <c r="H107" i="5"/>
  <c r="G107" i="5"/>
  <c r="F107" i="5"/>
  <c r="E107" i="5"/>
  <c r="H106" i="5"/>
  <c r="G106" i="5"/>
  <c r="F106" i="5"/>
  <c r="E106" i="5"/>
  <c r="H105" i="5"/>
  <c r="G105" i="5"/>
  <c r="F105" i="5"/>
  <c r="E105" i="5"/>
  <c r="H104" i="5"/>
  <c r="G104" i="5"/>
  <c r="F104" i="5"/>
  <c r="E104" i="5"/>
  <c r="H103" i="5"/>
  <c r="G103" i="5"/>
  <c r="F103" i="5"/>
  <c r="E103" i="5"/>
  <c r="H102" i="5"/>
  <c r="G102" i="5"/>
  <c r="F102" i="5"/>
  <c r="E102" i="5"/>
  <c r="H101" i="5"/>
  <c r="G101" i="5"/>
  <c r="F101" i="5"/>
  <c r="E101" i="5"/>
  <c r="H100" i="5"/>
  <c r="G100" i="5"/>
  <c r="F100" i="5"/>
  <c r="E100" i="5"/>
  <c r="H99" i="5"/>
  <c r="G99" i="5"/>
  <c r="F99" i="5"/>
  <c r="E99" i="5"/>
  <c r="H98" i="5"/>
  <c r="G98" i="5"/>
  <c r="F98" i="5"/>
  <c r="E98" i="5"/>
  <c r="H97" i="5"/>
  <c r="G97" i="5"/>
  <c r="F97" i="5"/>
  <c r="E97" i="5"/>
  <c r="H96" i="5"/>
  <c r="G96" i="5"/>
  <c r="F96" i="5"/>
  <c r="E96" i="5"/>
  <c r="H95" i="5"/>
  <c r="G95" i="5"/>
  <c r="F95" i="5"/>
  <c r="E95" i="5"/>
  <c r="H94" i="5"/>
  <c r="G94" i="5"/>
  <c r="F94" i="5"/>
  <c r="E94" i="5"/>
  <c r="H93" i="5"/>
  <c r="G93" i="5"/>
  <c r="F93" i="5"/>
  <c r="E93" i="5"/>
  <c r="H92" i="5"/>
  <c r="G92" i="5"/>
  <c r="F92" i="5"/>
  <c r="E92" i="5"/>
  <c r="H91" i="5"/>
  <c r="G91" i="5"/>
  <c r="F91" i="5"/>
  <c r="E91" i="5"/>
  <c r="H90" i="5"/>
  <c r="G90" i="5"/>
  <c r="F90" i="5"/>
  <c r="E90" i="5"/>
  <c r="H89" i="5"/>
  <c r="G89" i="5"/>
  <c r="F89" i="5"/>
  <c r="E89" i="5"/>
  <c r="H88" i="5"/>
  <c r="G88" i="5"/>
  <c r="F88" i="5"/>
  <c r="E88" i="5"/>
  <c r="H87" i="5"/>
  <c r="G87" i="5"/>
  <c r="F87" i="5"/>
  <c r="E87" i="5"/>
  <c r="H86" i="5"/>
  <c r="G86" i="5"/>
  <c r="F86" i="5"/>
  <c r="E86" i="5"/>
  <c r="H85" i="5"/>
  <c r="G85" i="5"/>
  <c r="F85" i="5"/>
  <c r="E85" i="5"/>
  <c r="H84" i="5"/>
  <c r="G84" i="5"/>
  <c r="F84" i="5"/>
  <c r="E84" i="5"/>
  <c r="H83" i="5"/>
  <c r="G83" i="5"/>
  <c r="F83" i="5"/>
  <c r="E83" i="5"/>
  <c r="H82" i="5"/>
  <c r="G82" i="5"/>
  <c r="F82" i="5"/>
  <c r="E82" i="5"/>
  <c r="H81" i="5"/>
  <c r="G81" i="5"/>
  <c r="F81" i="5"/>
  <c r="E81" i="5"/>
  <c r="H80" i="5"/>
  <c r="G80" i="5"/>
  <c r="F80" i="5"/>
  <c r="E80" i="5"/>
  <c r="H79" i="5"/>
  <c r="G79" i="5"/>
  <c r="F79" i="5"/>
  <c r="E79" i="5"/>
  <c r="H78" i="5"/>
  <c r="G78" i="5"/>
  <c r="F78" i="5"/>
  <c r="E78" i="5"/>
  <c r="H77" i="5"/>
  <c r="G77" i="5"/>
  <c r="F77" i="5"/>
  <c r="E77" i="5"/>
  <c r="H76" i="5"/>
  <c r="G76" i="5"/>
  <c r="F76" i="5"/>
  <c r="E76" i="5"/>
  <c r="H75" i="5"/>
  <c r="G75" i="5"/>
  <c r="F75" i="5"/>
  <c r="E75" i="5"/>
  <c r="H74" i="5"/>
  <c r="G74" i="5"/>
  <c r="F74" i="5"/>
  <c r="E74" i="5"/>
  <c r="H73" i="5"/>
  <c r="G73" i="5"/>
  <c r="F73" i="5"/>
  <c r="E73" i="5"/>
  <c r="H72" i="5"/>
  <c r="G72" i="5"/>
  <c r="F72" i="5"/>
  <c r="E72" i="5"/>
  <c r="H71" i="5"/>
  <c r="G71" i="5"/>
  <c r="F71" i="5"/>
  <c r="E71" i="5"/>
  <c r="H70" i="5"/>
  <c r="G70" i="5"/>
  <c r="F70" i="5"/>
  <c r="E70" i="5"/>
  <c r="H69" i="5"/>
  <c r="G69" i="5"/>
  <c r="F69" i="5"/>
  <c r="E69" i="5"/>
  <c r="H68" i="5"/>
  <c r="G68" i="5"/>
  <c r="F68" i="5"/>
  <c r="E68" i="5"/>
  <c r="H67" i="5"/>
  <c r="G67" i="5"/>
  <c r="F67" i="5"/>
  <c r="E67" i="5"/>
  <c r="H66" i="5"/>
  <c r="G66" i="5"/>
  <c r="F66" i="5"/>
  <c r="E66" i="5"/>
  <c r="H65" i="5"/>
  <c r="G65" i="5"/>
  <c r="F65" i="5"/>
  <c r="E65" i="5"/>
  <c r="H64" i="5"/>
  <c r="G64" i="5"/>
  <c r="F64" i="5"/>
  <c r="E64" i="5"/>
  <c r="H63" i="5"/>
  <c r="G63" i="5"/>
  <c r="F63" i="5"/>
  <c r="E63" i="5"/>
  <c r="H62" i="5"/>
  <c r="G62" i="5"/>
  <c r="F62" i="5"/>
  <c r="E62" i="5"/>
  <c r="H61" i="5"/>
  <c r="G61" i="5"/>
  <c r="F61" i="5"/>
  <c r="E61" i="5"/>
  <c r="H60" i="5"/>
  <c r="G60" i="5"/>
  <c r="F60" i="5"/>
  <c r="E60" i="5"/>
  <c r="H59" i="5"/>
  <c r="G59" i="5"/>
  <c r="F59" i="5"/>
  <c r="E59" i="5"/>
  <c r="H58" i="5"/>
  <c r="G58" i="5"/>
  <c r="F58" i="5"/>
  <c r="E58" i="5"/>
  <c r="H57" i="5"/>
  <c r="G57" i="5"/>
  <c r="F57" i="5"/>
  <c r="E57" i="5"/>
  <c r="H56" i="5"/>
  <c r="G56" i="5"/>
  <c r="F56" i="5"/>
  <c r="E56" i="5"/>
  <c r="H55" i="5"/>
  <c r="G55" i="5"/>
  <c r="F55" i="5"/>
  <c r="E55" i="5"/>
  <c r="H54" i="5"/>
  <c r="G54" i="5"/>
  <c r="F54" i="5"/>
  <c r="E54" i="5"/>
  <c r="H53" i="5"/>
  <c r="G53" i="5"/>
  <c r="F53" i="5"/>
  <c r="E53" i="5"/>
  <c r="H52" i="5"/>
  <c r="G52" i="5"/>
  <c r="F52" i="5"/>
  <c r="E52" i="5"/>
  <c r="H51" i="5"/>
  <c r="G51" i="5"/>
  <c r="F51" i="5"/>
  <c r="E51" i="5"/>
  <c r="H50" i="5"/>
  <c r="G50" i="5"/>
  <c r="F50" i="5"/>
  <c r="E50" i="5"/>
  <c r="H49" i="5"/>
  <c r="G49" i="5"/>
  <c r="F49" i="5"/>
  <c r="E49" i="5"/>
  <c r="H48" i="5"/>
  <c r="G48" i="5"/>
  <c r="F48" i="5"/>
  <c r="E48" i="5"/>
  <c r="H47" i="5"/>
  <c r="G47" i="5"/>
  <c r="F47" i="5"/>
  <c r="E47" i="5"/>
  <c r="H46" i="5"/>
  <c r="G46" i="5"/>
  <c r="F46" i="5"/>
  <c r="E46" i="5"/>
  <c r="H45" i="5"/>
  <c r="G45" i="5"/>
  <c r="F45" i="5"/>
  <c r="E45" i="5"/>
  <c r="H44" i="5"/>
  <c r="G44" i="5"/>
  <c r="F44" i="5"/>
  <c r="E44" i="5"/>
  <c r="H43" i="5"/>
  <c r="G43" i="5"/>
  <c r="F43" i="5"/>
  <c r="E43" i="5"/>
  <c r="H42" i="5"/>
  <c r="G42" i="5"/>
  <c r="F42" i="5"/>
  <c r="E42" i="5"/>
  <c r="H41" i="5"/>
  <c r="G41" i="5"/>
  <c r="F41" i="5"/>
  <c r="E41" i="5"/>
  <c r="H40" i="5"/>
  <c r="G40" i="5"/>
  <c r="F40" i="5"/>
  <c r="E40" i="5"/>
  <c r="H39" i="5"/>
  <c r="G39" i="5"/>
  <c r="F39" i="5"/>
  <c r="E39" i="5"/>
  <c r="H38" i="5"/>
  <c r="G38" i="5"/>
  <c r="F38" i="5"/>
  <c r="E38" i="5"/>
  <c r="H37" i="5"/>
  <c r="G37" i="5"/>
  <c r="F37" i="5"/>
  <c r="E37" i="5"/>
  <c r="H36" i="5"/>
  <c r="G36" i="5"/>
  <c r="F36" i="5"/>
  <c r="E36" i="5"/>
  <c r="H35" i="5"/>
  <c r="G35" i="5"/>
  <c r="F35" i="5"/>
  <c r="E35" i="5"/>
  <c r="H34" i="5"/>
  <c r="G34" i="5"/>
  <c r="F34" i="5"/>
  <c r="E34" i="5"/>
  <c r="H33" i="5"/>
  <c r="G33" i="5"/>
  <c r="F33" i="5"/>
  <c r="E33" i="5"/>
  <c r="H32" i="5"/>
  <c r="G32" i="5"/>
  <c r="F32" i="5"/>
  <c r="E32" i="5"/>
  <c r="H31" i="5"/>
  <c r="G31" i="5"/>
  <c r="F31" i="5"/>
  <c r="E31" i="5"/>
  <c r="H30" i="5"/>
  <c r="G30" i="5"/>
  <c r="F30" i="5"/>
  <c r="E30" i="5"/>
  <c r="H29" i="5"/>
  <c r="G29" i="5"/>
  <c r="F29" i="5"/>
  <c r="E29" i="5"/>
  <c r="H28" i="5"/>
  <c r="G28" i="5"/>
  <c r="F28" i="5"/>
  <c r="E28" i="5"/>
  <c r="H27" i="5"/>
  <c r="G27" i="5"/>
  <c r="F27" i="5"/>
  <c r="E27" i="5"/>
  <c r="H26" i="5"/>
  <c r="G26" i="5"/>
  <c r="F26" i="5"/>
  <c r="E26" i="5"/>
  <c r="H25" i="5"/>
  <c r="G25" i="5"/>
  <c r="F25" i="5"/>
  <c r="E25" i="5"/>
  <c r="H24" i="5"/>
  <c r="G24" i="5"/>
  <c r="F24" i="5"/>
  <c r="E24" i="5"/>
  <c r="H23" i="5"/>
  <c r="G23" i="5"/>
  <c r="F23" i="5"/>
  <c r="E23" i="5"/>
  <c r="H22" i="5"/>
  <c r="G22" i="5"/>
  <c r="F22" i="5"/>
  <c r="E22" i="5"/>
  <c r="H21" i="5"/>
  <c r="G21" i="5"/>
  <c r="F21" i="5"/>
  <c r="E21" i="5"/>
  <c r="H20" i="5"/>
  <c r="G20" i="5"/>
  <c r="F20" i="5"/>
  <c r="E20" i="5"/>
  <c r="H19" i="5"/>
  <c r="G19" i="5"/>
  <c r="F19" i="5"/>
  <c r="E19" i="5"/>
  <c r="H18" i="5"/>
  <c r="G18" i="5"/>
  <c r="F18" i="5"/>
  <c r="E18" i="5"/>
  <c r="H17" i="5"/>
  <c r="G17" i="5"/>
  <c r="F17" i="5"/>
  <c r="E17" i="5"/>
  <c r="G16" i="5"/>
  <c r="F16" i="5"/>
  <c r="E16" i="5"/>
  <c r="H16" i="5" s="1"/>
  <c r="G15" i="5"/>
  <c r="F15" i="5"/>
  <c r="E15" i="5"/>
  <c r="H15" i="5" s="1"/>
  <c r="G14" i="5"/>
  <c r="F14" i="5"/>
  <c r="E14" i="5"/>
  <c r="H14" i="5" s="1"/>
  <c r="G13" i="5"/>
  <c r="F13" i="5"/>
  <c r="E13" i="5"/>
  <c r="H13" i="5" s="1"/>
  <c r="G12" i="5"/>
  <c r="F12" i="5"/>
  <c r="E12" i="5"/>
  <c r="H12" i="5" s="1"/>
  <c r="G11" i="5"/>
  <c r="F11" i="5"/>
  <c r="E11" i="5"/>
  <c r="H11" i="5" s="1"/>
  <c r="G10" i="5"/>
  <c r="F10" i="5"/>
  <c r="E10" i="5"/>
  <c r="H10" i="5" s="1"/>
  <c r="G9" i="5"/>
  <c r="F9" i="5"/>
  <c r="E9" i="5"/>
  <c r="H9" i="5" s="1"/>
  <c r="G8" i="5"/>
  <c r="F8" i="5"/>
  <c r="E8" i="5"/>
  <c r="H8" i="5" s="1"/>
  <c r="G7" i="5"/>
  <c r="F7" i="5"/>
  <c r="E7" i="5"/>
  <c r="H7" i="5" s="1"/>
  <c r="G6" i="5"/>
  <c r="F6" i="5"/>
  <c r="E6" i="5"/>
  <c r="H6" i="5" s="1"/>
  <c r="G5" i="5"/>
  <c r="F5" i="5"/>
  <c r="E5" i="5"/>
  <c r="H5" i="5" s="1"/>
  <c r="G4" i="5"/>
  <c r="F4" i="5"/>
  <c r="E4" i="5"/>
  <c r="H4" i="5" s="1"/>
  <c r="G3" i="5"/>
  <c r="F3" i="5"/>
  <c r="E3" i="5"/>
  <c r="H3" i="5" s="1"/>
  <c r="G2" i="5"/>
  <c r="F2" i="5"/>
  <c r="E2" i="5"/>
  <c r="H2" i="5" s="1"/>
  <c r="B18" i="9" s="1"/>
  <c r="B19" i="9" s="1"/>
  <c r="B15" i="9" l="1"/>
  <c r="B14" i="9"/>
</calcChain>
</file>

<file path=xl/sharedStrings.xml><?xml version="1.0" encoding="utf-8"?>
<sst xmlns="http://schemas.openxmlformats.org/spreadsheetml/2006/main" count="677" uniqueCount="443">
  <si>
    <t>Szablon dokumentacji testowej</t>
  </si>
  <si>
    <t>Testowanie oprogramowania – ćwiczenia 1 (na podstawie ISO/IEC/IEEE 29119-3 i sylabusa ISTQB CTFL 4.0)</t>
  </si>
  <si>
    <t>Autor (imię, nazwisko, nr albumu)</t>
  </si>
  <si>
    <t>Adrian Skamarski 174919</t>
  </si>
  <si>
    <t>Grupa / data</t>
  </si>
  <si>
    <t>IO2 16.10.2026</t>
  </si>
  <si>
    <t>Przedmiot testów</t>
  </si>
  <si>
    <t>KinoTO 1.0 – formularz zakupu biletów (specyfikacja: specyfikacja_KinoTO.md; obiekt do wykonywania testów: Symulator_KinoTO.xlsx)</t>
  </si>
  <si>
    <t>ARKUSZE</t>
  </si>
  <si>
    <t>Przegląd specyfikacji</t>
  </si>
  <si>
    <t>Wynik testowania statycznego: jeden wiersz = jeden problem w specyfikacji (z ID wymagania, rodzajem problemu i pytaniem do autora).</t>
  </si>
  <si>
    <t>Warunki testowe</t>
  </si>
  <si>
    <t>Wynik analizy: CO testujemy. ID w formacie WT-&lt;obszar&gt;-&lt;nr&gt;, np. WT-FRM-01; podaj wymaganie i priorytet.</t>
  </si>
  <si>
    <t>Przypadki testowe</t>
  </si>
  <si>
    <t>Specyfikacja przypadków testowych: jeden wiersz = jeden przypadek. ID w formacie TC-&lt;obszar&gt;-&lt;nr&gt;, np. TC-FRM-001. Kolumnę „Wymaganie” wypełnij identyfikatorami REQ-… (kilka – po przecinku).</t>
  </si>
  <si>
    <t>Macierz śledzenia</t>
  </si>
  <si>
    <t>Jeden wiersz = jedno wymaganie (ID i skrót są już wpisane). Uzupełnij priorytet i ID przypadków. Kolumny „Liczba przypadków”, „Zaliczone”, „Niezaliczone” i „Pokrycie” liczą się same.</t>
  </si>
  <si>
    <t>Sesja eksploracyjna</t>
  </si>
  <si>
    <t>Karta sesji (cel, czas) i notatki z sesji: co sprawdzono, co zaobserwowano, ocena obserwacji.</t>
  </si>
  <si>
    <t>Raporty defektów</t>
  </si>
  <si>
    <t>Jeden wiersz = jeden raport o defekcie (ID: DEF-&lt;nr&gt;). Kroki muszą pozwolić odtworzyć awarię innej osobie. Zrzut ekranu (opcjonalnie): Win+Shift+S, zapisz jako DEF-&lt;nr&gt;.png.</t>
  </si>
  <si>
    <t>Lista kontrolna</t>
  </si>
  <si>
    <t>Pozycje formułuj jako pytania, na które odpowiedź „Tak” oznacza stan poprawny. Wynik „Nie” → wpisz dowód i (jeśli to defekt) ID raportu.</t>
  </si>
  <si>
    <t>Raport z wykonania</t>
  </si>
  <si>
    <t>Podsumowanie testów. Liczby w kolumnie „Wartość” wyliczają się automatycznie – uzupełnij pola opisowe.</t>
  </si>
  <si>
    <t>STATUS PRZYPADKU</t>
  </si>
  <si>
    <t>Nie wykonano – jeszcze nie uruchomiony; Zaliczony – rzeczywisty rezultat = oczekiwany; Niezaliczony – rozbieżność (wpisz ID defektu); Zablokowany – nie da się wykonać (np. brak środowiska, inny defekt); Pominięty – świadomie nie wykonano (podaj powód w uwagach).</t>
  </si>
  <si>
    <t>WAŻNOŚĆ (severity)</t>
  </si>
  <si>
    <t>Wpływ defektu na system/użytkownika: Krytyczna – awaria uniemożliwia korzystanie z kluczowej funkcji, utrata danych, bezpieczeństwo; Wysoka – ważna funkcja działa błędnie, brak obejścia; Średnia – błąd z obejściem lub w mniej ważnej funkcji; Niska – kosmetyka, literówki, drobne niedogodności.</t>
  </si>
  <si>
    <t>PRIORYTET (priority)</t>
  </si>
  <si>
    <t>Pilność naprawy z punktu widzenia biznesu: Wysoki – naprawić natychmiast / przed wydaniem; Średni – w najbliższym cyklu; Niski – gdy będzie czas. Ważność i priorytet to dwie różne oceny (np. literówka w nazwie firmy na stronie głównej: niska ważność, wysoki priorytet).</t>
  </si>
  <si>
    <t>CYKL ŻYCIA DEFEKTU</t>
  </si>
  <si>
    <t>Nowy → Otwarty → W naprawie → Naprawiony → Do retestu → Zamknięty; ewentualnie Odrzucony (to nie defekt / nie do odtworzenia), Odroczony (naprawa później), Ponownie otwarty (retest nieudany).</t>
  </si>
  <si>
    <t>TECHNIKA</t>
  </si>
  <si>
    <t>EP – podział na klasy równoważności; AWB – analiza wartości brzegowych; Doświadczenie – zgadywanie błędów, testowanie eksploracyjne; Na podstawie wymagania – test wyprowadzony wprost z treści wymagania.</t>
  </si>
  <si>
    <t>Wiersze przykładowe</t>
  </si>
  <si>
    <t>Wiersze wyróżnione żółtym tłem są przykładami – usuń je lub zastąp własnymi przed oddaniem.</t>
  </si>
  <si>
    <t>Nr</t>
  </si>
  <si>
    <t>Wymaganie (REQ-…)</t>
  </si>
  <si>
    <t>Rodzaj problemu</t>
  </si>
  <si>
    <t>Opis problemu</t>
  </si>
  <si>
    <t>Pytanie do autora / propozycja</t>
  </si>
  <si>
    <t>REQ-FRM-02</t>
  </si>
  <si>
    <t>Niejednoznaczność</t>
  </si>
  <si>
    <t>Zapis „może zawierać tylko litery” nie precyzuje, czy akceptowane są polskie znaki oraz znaki z innych alfabetów.</t>
  </si>
  <si>
    <t>Czy walidacja imienia powinna dopuszczać polskie znaki oraz litery z innych alfabetów?</t>
  </si>
  <si>
    <t>Brak (niekompletne)</t>
  </si>
  <si>
    <t>Brak weryfikacji formatu. System teoretycznie przepuści imię składające się z samych 30 spacji.</t>
  </si>
  <si>
    <t>Czy imię nie powinno zaczynać się i zawierać przynajmniej jednej litery?</t>
  </si>
  <si>
    <t>REQ-FRM-03</t>
  </si>
  <si>
    <t>Określenie „poprawny adres e-mail” jest zbyt ogólne. Nie wskazano standardu weryfikacji, ani dokładnych warunków.</t>
  </si>
  <si>
    <t>Według jakich reguł lub jakiego wyrażenia regularnego sprawdzany jest adres e-mail?</t>
  </si>
  <si>
    <t>REQ-FRM-05</t>
  </si>
  <si>
    <t>Zapis „liczba całkowita” nie definiuje jednoznacznie zachowania formularza dla wartości ułamkowych zapisanych z przecinkiem/kropką</t>
  </si>
  <si>
    <t>Czy wpisanie wartości np. 2,0 lub 05 ma być traktowane jako błąd i wyświetlać komunikat?</t>
  </si>
  <si>
    <t>REQ-FRM-01</t>
  </si>
  <si>
    <t>Specyfikacja nie opisuje wprost, co się dzieje, gdy wymagane pola pozostaną całkowicie puste przy próbie zakupu.</t>
  </si>
  <si>
    <t>Czy dla pustych pól wyświetla się ten sam komunikat błędu co dla danych niepoprawnych, czy przewidziano dedykowany komunikat?</t>
  </si>
  <si>
    <t>REQ-CEN-02</t>
  </si>
  <si>
    <t>Sprzeczność</t>
  </si>
  <si>
    <t>Wymaganie wskazuje, że ulga 50% dotyczy wieku kupującego i „Wszystkie bilety w zamówieniu są tego samego rodzaju”. Prowadzi to do nielogicznej sytuacji, w której 10-latek kupujący 10 biletów otrzyma na wszystkie ulgę.</t>
  </si>
  <si>
    <t>Czy system celowo przyznaje ulgę na całe zamówienie wyłącznie na podstawie wieku jednego kupującego podanego w formularzu?</t>
  </si>
  <si>
    <t>ID</t>
  </si>
  <si>
    <t>Warunek testowy (CO sprawdzamy)</t>
  </si>
  <si>
    <t>Priorytet</t>
  </si>
  <si>
    <t>Uwagi</t>
  </si>
  <si>
    <t>WT-FRM-01</t>
  </si>
  <si>
    <t>Próba podania imienia krótszego niż 2 znaki</t>
  </si>
  <si>
    <t>Średni</t>
  </si>
  <si>
    <t xml:space="preserve">Wymaga sprawdzenia wartości brzegowej dla dolnej granicy </t>
  </si>
  <si>
    <t>WT-FRM-02</t>
  </si>
  <si>
    <t>Próba podania imienia o maksymalnej dopuszczalnej długości (30 znaków)</t>
  </si>
  <si>
    <t xml:space="preserve">Należy przetestować górną granicę oraz wartość tuż za nią </t>
  </si>
  <si>
    <t>WT-FRM-03</t>
  </si>
  <si>
    <t>Sprawdzenie akceptacji konkretnych znaków (dozwolonych i zabronionych) w polu Imię</t>
  </si>
  <si>
    <t>Trzeba sprawdzić akceptację spacji i myślnika oraz odrzucanie cyfr i innych znaków specjalnych.</t>
  </si>
  <si>
    <t>WT-FRM-04</t>
  </si>
  <si>
    <t>Walidacja prawidłowych i nieprawidłowych struktur e-mail</t>
  </si>
  <si>
    <t>Brak specyfikacji dokładnego formatu; warto sprawdzić klasyczne błędy, np. brak znaku @</t>
  </si>
  <si>
    <t>WT-FRM-05</t>
  </si>
  <si>
    <t>Testowanie wartości brzegowych dla wieku kupującego (1 i 120)</t>
  </si>
  <si>
    <t>REQ-FRM-04</t>
  </si>
  <si>
    <t>Należy użyć analizy wartości brzegowych: 0, 1, 120 oraz 121.</t>
  </si>
  <si>
    <t>WT-FRM-06</t>
  </si>
  <si>
    <t>Reakcja formularza na ułamki w polu Wiek</t>
  </si>
  <si>
    <t>Należy zweryfikować zachowanie dla ułamków, wartości ujemnych i liter.</t>
  </si>
  <si>
    <t>WT-FRM-07</t>
  </si>
  <si>
    <t>Sprawdzenie skrajnych dopuszczalnych ilości biletów (1 oraz 10)</t>
  </si>
  <si>
    <t>Wysoki</t>
  </si>
  <si>
    <t>Klawiszowe dla ceny; wymaga testu wartości brzegowych: 0, 1, 10, 11.</t>
  </si>
  <si>
    <t>WT-FRM-08</t>
  </si>
  <si>
    <t>Zachowanie systemu przy pustym polu na kod rabatowy</t>
  </si>
  <si>
    <t>REQ-FRM-06</t>
  </si>
  <si>
    <t>Niski</t>
  </si>
  <si>
    <t>Pusty kod nie powinien blokować zamówienia ani wyrzucać żadnych błędów.</t>
  </si>
  <si>
    <t>WT-FRM-09</t>
  </si>
  <si>
    <t>Zgłaszanie kilku błędów naraz przy nieprawidłowym wypełnieniu wszystkich rubryk</t>
  </si>
  <si>
    <t>REQ-FRM-07</t>
  </si>
  <si>
    <t>Należy upewnić się, że po wpisaniu błędów we wszystkich polach, system wyświetli wszystkie komunikaty na raz, bez ucinania listy.</t>
  </si>
  <si>
    <t>WT-FRM-10</t>
  </si>
  <si>
    <t>Wyświetlanie ostatecznego podsumowania transakcji przy prawidłowych informacjach wejściowych</t>
  </si>
  <si>
    <t>REQ-FRM-01, REQ-FRM-08</t>
  </si>
  <si>
    <t>Podstawowy test sprawdzający ogólne działanie formularza po wpisaniu poprawnych danych.</t>
  </si>
  <si>
    <t>WT-CEN-01</t>
  </si>
  <si>
    <t>Kalkulacja bazowej kwoty za bilet (bez promocji, 30,00 zł)</t>
  </si>
  <si>
    <t>REQ-CEN-01</t>
  </si>
  <si>
    <t>Baza do dalszych testów; sprawdzić dla osoby w wieku 18-64 lat bez żadnych zniżek.</t>
  </si>
  <si>
    <t>WT-CEN-02</t>
  </si>
  <si>
    <t>Naliczanie 50% zniżki na podstawie progów wiekowych</t>
  </si>
  <si>
    <t xml:space="preserve">Przetestować progi wiekowe dla ulgi przy użyciu wartości brzegowych </t>
  </si>
  <si>
    <t>WT-CEN-03</t>
  </si>
  <si>
    <t>Logika ograniczania sumarycznego rabatu do 15% przy użyciu obu zniżek</t>
  </si>
  <si>
    <t>REQ-CEN-03</t>
  </si>
  <si>
    <t>Upewnić się, że w przypadku użycia obu zniżek, rabaty nie sumują się do 25%, lecz wynoszą maksymalnie 15%.</t>
  </si>
  <si>
    <t>WT-CEN-04</t>
  </si>
  <si>
    <t>Aplikowanie zniżki 10% przy skorzystaniu z tylko jednej promocji</t>
  </si>
  <si>
    <t>Wymaga zaprojektowania dwóch odrębnych przypadków: raz tylko z Kartą, raz tylko z Kodem.</t>
  </si>
  <si>
    <t>WT-CEN-05</t>
  </si>
  <si>
    <t>Akceptacja wielkich i małych liter w prawidłowym kodzie rabatowym</t>
  </si>
  <si>
    <t>REQ-CEN-04</t>
  </si>
  <si>
    <t>Przetestować wpisanie kodu z małymi i wielkimi literami, np. "kino10" oraz "Kino10".</t>
  </si>
  <si>
    <t>WT-CEN-06</t>
  </si>
  <si>
    <t>Obsługa niepoprawnego kodu promocyjnego (komunikat i kontynuacja)</t>
  </si>
  <si>
    <t>Krytyczne sprawdzenie: błędny kod nie może zablokować możliwości dokonania zakupu.</t>
  </si>
  <si>
    <t>WT-CEN-07</t>
  </si>
  <si>
    <t>Doliczanie standardowej opłaty rezerwacyjnej (2,00 zł)</t>
  </si>
  <si>
    <t>REQ-CEN-05</t>
  </si>
  <si>
    <t>Przeprowadzić test dla zamówień o wartości poniżej 100 zł wykonanych bez Karty Kinomaniaka.</t>
  </si>
  <si>
    <t>WT-CEN-08</t>
  </si>
  <si>
    <t>Zwalnianie z opłaty rezerwacyjnej (Karta lub wartość zamówienia &gt;= 100,00 zł)</t>
  </si>
  <si>
    <t>Obowiązkowo przetestować punkt graniczny dla zwalniania z opłaty, zamówienie na równo 100 zł.</t>
  </si>
  <si>
    <t>WT-CEN-09</t>
  </si>
  <si>
    <t>Poprawność matematyczna wzoru wyliczania kwoty suma końcowa z zaokrąglaniem</t>
  </si>
  <si>
    <t>REQ-CEN-06</t>
  </si>
  <si>
    <t>Do tego testu konieczne będzie ręczne wyliczenie oczekiwanej kwoty zaokrąglonej do grosza, aby mieć wyrocznię testową.</t>
  </si>
  <si>
    <t>WT-CEN-10</t>
  </si>
  <si>
    <t>Poprawność formatowania wszystkich zwracanych kwot (2 miejsca po przecinku, dodana jednostka "zł")</t>
  </si>
  <si>
    <t>REQ-CEN-07</t>
  </si>
  <si>
    <t>Sprawdzić, czy system dodaje ułamki na końcu kwot całkowitych</t>
  </si>
  <si>
    <t>Tytuł</t>
  </si>
  <si>
    <t>Technika</t>
  </si>
  <si>
    <t>Warunki wstępne</t>
  </si>
  <si>
    <t>Dane testowe</t>
  </si>
  <si>
    <t>Kroki</t>
  </si>
  <si>
    <t>Oczekiwany rezultat</t>
  </si>
  <si>
    <t>Rzeczywisty rezultat</t>
  </si>
  <si>
    <t>Status</t>
  </si>
  <si>
    <t>ID defektu</t>
  </si>
  <si>
    <t>Wykonał</t>
  </si>
  <si>
    <t>Data wykonania</t>
  </si>
  <si>
    <t>TC-FRM-001</t>
  </si>
  <si>
    <t>Imię poniżej dolnego limitu (1 znak)</t>
  </si>
  <si>
    <t>REQ-FRM-02, REQ-FRM-07</t>
  </si>
  <si>
    <t>AWB</t>
  </si>
  <si>
    <t>1. Otwarty Symulator_KinoTO.xlsx.
2. Żółte pola puste.</t>
  </si>
  <si>
    <t>imię: A
e-mail: adam.nowak@poczta.net
wiek: 30
liczba biletów: 1
kod: (puste)
karta: Nie</t>
  </si>
  <si>
    <t>1. Wpisz dane w żółte pola.
2. Sprawdź komunikaty i podsumowanie.</t>
  </si>
  <si>
    <t>Wiadomość błędu: „Podaj poprawne imię.” Panel podsumowania nie jest widoczny.</t>
  </si>
  <si>
    <t>Zaliczony</t>
  </si>
  <si>
    <t>Adrian Skamarski</t>
  </si>
  <si>
    <t>TC-FRM-002</t>
  </si>
  <si>
    <t>Imię na górnej granicy limitu (30 znaków)</t>
  </si>
  <si>
    <t>REQ-FRM-02, REQ-FRM-08</t>
  </si>
  <si>
    <t>imię: Piotr-Pawel Wojciechowski-Klos
e-mail: adam.nowak@poczta.net
wiek: 30
liczba biletów: 1
kod: (puste)
karta: Nie</t>
  </si>
  <si>
    <t>System nie zgłasza błędów. Zostaje wyświetlone podsumowanie oraz tekst „Dziękujemy za zakup!”.</t>
  </si>
  <si>
    <t>Żadne błędy się nie wyświetlają. Widoczne jest podsumowanie na kwotę 32,00 zł oraz tekst „Dziękujemy za zakup!”.</t>
  </si>
  <si>
    <t>TC-FRM-003</t>
  </si>
  <si>
    <t>Błędny format adresu e-mail (pominięta małpa)</t>
  </si>
  <si>
    <t>REQ-FRM-03, REQ-FRM-07</t>
  </si>
  <si>
    <t>EP</t>
  </si>
  <si>
    <t>imię: Jan
e-mail: adam.nowakpoczta.net
wiek: 30
liczba biletów: 1
kod: (puste)
karta: Nie</t>
  </si>
  <si>
    <t>Wiadomość błędu: „Niepoprawny adres e-mail.” Panel podsumowania nie jest widoczny.</t>
  </si>
  <si>
    <t>TC-FRM-004</t>
  </si>
  <si>
    <t>Wiek podany jako wartość ułamkowa</t>
  </si>
  <si>
    <t>REQ-FRM-04, REQ-FRM-07</t>
  </si>
  <si>
    <t>imię: Jan
e-mail: adam.nowak@poczta.net
wiek: 25.5
liczba biletów: 1
kod: (puste)
karta: Nie</t>
  </si>
  <si>
    <t>Wiadomość błędu: „Podaj wiek od 1 do 120.” Panel podsumowania nie jest widoczny.</t>
  </si>
  <si>
    <t xml:space="preserve">Wiadomość błędu: „Podaj wiek od 1 do 120.” Panel podsumowania nie jest widoczny. </t>
  </si>
  <si>
    <t>Niezaliczony</t>
  </si>
  <si>
    <t>DEF-007</t>
  </si>
  <si>
    <t>Po wpisaniu 25.5 wyświetla się data.</t>
  </si>
  <si>
    <t>TC-FRM-005</t>
  </si>
  <si>
    <t>Maksymalna dozwolona ilość biletów (10 szt.)</t>
  </si>
  <si>
    <t>REQ-FRM-05, REQ-FRM-08</t>
  </si>
  <si>
    <t>imię: Jan
e-mail: adam.nowak@poczta.net
wiek: 30
liczba biletów: 10
kod: (puste)
karta: Nie</t>
  </si>
  <si>
    <t>Żadne błędy się nie wyświetlają. Widoczne jest podsumowanie na kwotę 300,00 zł oraz tekst „Dziękujemy za zakup!”.</t>
  </si>
  <si>
    <t>TC-FRM-006</t>
  </si>
  <si>
    <t>Weryfikacja ostrzeżeń przy całkowicie pustym formularzu</t>
  </si>
  <si>
    <t>Wszystkie pola puste, karta: Nie</t>
  </si>
  <si>
    <t>1. Pozostaw wszystkie żółte pola puste.
2. Sprawdź komunikaty i podsumowanie.</t>
  </si>
  <si>
    <t>Komunikaty o błędach dla imienia, e-maila, wieku i liczby biletów. Panel podsumowania nie jest widoczny.</t>
  </si>
  <si>
    <t>Komunikaty o błędach: „Podaj poprawne imię”,  „Niepoprawny adres e-mail”, „Podaj wiek od 1 do 120”, „Można kupić od 1 do 10 biletów”. Panel podsumowania nie jest widoczny.</t>
  </si>
  <si>
    <t>TC-CEN-001</t>
  </si>
  <si>
    <t>Zniżka dla nieletnich na granicy (17 lat), bez dodatkowych opcji</t>
  </si>
  <si>
    <t>REQ-CEN-02, REQ-CEN-06</t>
  </si>
  <si>
    <t>imię: Jan
e-mail: adam.nowak@poczta.net
wiek: 17
liczba biletów: 1
kod: (puste)
karta: Nie</t>
  </si>
  <si>
    <t>1. Wpisz dane w żółte pola.
2. Odczytaj kwoty w podsumowaniu.</t>
  </si>
  <si>
    <t>kwota za bilet 15,00 zł; rabat 0%; opłata 2,00 zł; suma końcowa 17,00 zł.</t>
  </si>
  <si>
    <t>kwota za bilet 15,00 zł; rabat 0%; opłata 2; suma końcowa 17,00 zł.</t>
  </si>
  <si>
    <t>TC-CEN-002</t>
  </si>
  <si>
    <t>Brak zniżki dla wieku dorosłego na granicy (18 lat)</t>
  </si>
  <si>
    <t>imię: Jan
e-mail: adam.nowak@poczta.net
wiek: 18
liczba biletów: 1
kod: (puste)
karta: Nie</t>
  </si>
  <si>
    <t>kwota za bilet 30,00 zł; rabat 0%; opłata 2,00 zł; suma końcowa 32,00 zł.</t>
  </si>
  <si>
    <t>kwota za bilet 30,00 zł; rabat 0%; opłata 2; suma końcowa 32,00 zł.</t>
  </si>
  <si>
    <t>TC-CEN-003</t>
  </si>
  <si>
    <t>Zniżka dla emeryta (dolny próg 65 lat)</t>
  </si>
  <si>
    <t>imię: Jan
e-mail: adam.nowak@poczta.net
wiek: 65
liczba biletów: 1
kod: (puste)
karta: Nie</t>
  </si>
  <si>
    <t>DEF-008</t>
  </si>
  <si>
    <t>Cena biletu jest wyższa niż oczekiwana</t>
  </si>
  <si>
    <t>TC-CEN-004</t>
  </si>
  <si>
    <t>Łączenie promocji (Karta i Kod) oraz brak opłaty serwisowej</t>
  </si>
  <si>
    <t>REQ-CEN-03, REQ-CEN-05</t>
  </si>
  <si>
    <t>Tablica decyzyjna</t>
  </si>
  <si>
    <t>imię: Jan
e-mail: adam.nowak@poczta.net
wiek: 30
liczba biletów: 2
kod: KINO10
karta: Tak</t>
  </si>
  <si>
    <t>kwota za bilet 30,00 zł; rabat 15%; opłata 0,00 zł; suma końcowa 51,00 zł.</t>
  </si>
  <si>
    <t>kwota za bilet 30,00 zł; rabat 20%; opłata 0; suma końcowa 48,00 zł.</t>
  </si>
  <si>
    <t>DEF-009</t>
  </si>
  <si>
    <t>Źle naliczony rabat</t>
  </si>
  <si>
    <t>TC-CEN-005</t>
  </si>
  <si>
    <t xml:space="preserve">Zniżka z samego Kodu dla pojedynczego biletu </t>
  </si>
  <si>
    <t>imię: Jan
e-mail: adam.nowak@poczta.net
wiek: 30
liczba biletów: 1
kod: KINO10
karta: Nie</t>
  </si>
  <si>
    <t>kwota za bilet 30,00 zł; rabat 10%; opłata 2,00 zł; suma końcowa 29,00 zł.</t>
  </si>
  <si>
    <t>kwota za bilet 30,00 zł; rabat 10%; opłata 2; suma końcowa 29,00 zł.</t>
  </si>
  <si>
    <t>TC-CEN-006</t>
  </si>
  <si>
    <t>Zniżka za Kartę Kinomaniaka bez dodatkowych opłat</t>
  </si>
  <si>
    <t>imię: Jan
e-mail: adam.nowak@poczta.net
wiek: 30
liczba biletów: 1
kod: (puste)
karta: Tak</t>
  </si>
  <si>
    <t>kwota za bilet 30,00 zł; rabat 10%; opłata 0,00 zł; suma końcowa 27,00 zł.</t>
  </si>
  <si>
    <t>kwota za bilet 30,00 zł; rabat 10%; opłata 0; suma końcowa 27,00 zł.</t>
  </si>
  <si>
    <t>TC-CEN-007</t>
  </si>
  <si>
    <t>Wprowadzenie nieistniejącego kodu przy większej ilości biletów</t>
  </si>
  <si>
    <t>REQ-CEN-04, REQ-CEN-05</t>
  </si>
  <si>
    <t>imię: Jan
e-mail: adam.nowak@poczta.net
wiek: 30
liczba biletów: 4
kod: BLEDNY
karta: Nie</t>
  </si>
  <si>
    <t>Wiadomość błędu: „Nieprawidłowy kod - pominięto”. Podsumowanie: kwota za bilet 30,00 zł; rabat 0%; opłata 0,00 zł; suma końcowa 120,00 zł.</t>
  </si>
  <si>
    <t>Wiadomość błędu: „Nieprawidłowy kod - pominięto”. Podsumowanie: kwota za bilet 30,00 zł; rabat 0%; opłata 0; suma końcowa 120,00 zł.</t>
  </si>
  <si>
    <t>TC-CEN-008</t>
  </si>
  <si>
    <t xml:space="preserve">Weryfikacja kodu z użyciem małych znaków </t>
  </si>
  <si>
    <t>imię: Jan
e-mail: adam.nowak@poczta.net
wiek: 30
liczba biletów: 1
kod: kino10
karta: Nie</t>
  </si>
  <si>
    <t>Wiadomość błędu: „Nieprawidłowy kod - pominięto”. Podsumowanie: kwota za bilet 30,00 zł; rabat 0%; opłata 2; suma końcowa 32,00 zł.</t>
  </si>
  <si>
    <t>DEF-010</t>
  </si>
  <si>
    <t>Rabat nie został naliczony</t>
  </si>
  <si>
    <t>TC-CEN-009</t>
  </si>
  <si>
    <t>Test zaokrąglania obliczonej sumy w górę</t>
  </si>
  <si>
    <t>Na podstawie wymagań</t>
  </si>
  <si>
    <t>imię: Jan
e-mail: adam.nowak@poczta.net
wiek: 15
liczba biletów: 1
kod: KINO10
karta: Nie</t>
  </si>
  <si>
    <t>kwota za bilet 15,00 zł; rabat 10%; opłata 2,00 zł; suma końcowa 15,50 zł.</t>
  </si>
  <si>
    <t>kwota za bilet 15,00 zł; rabat 10%; opłata 2; suma końcowa 15,50 zł.</t>
  </si>
  <si>
    <t>ID wymagania</t>
  </si>
  <si>
    <t>Wymaganie (skrót)</t>
  </si>
  <si>
    <t>Przypadki testowe (ID)</t>
  </si>
  <si>
    <t>Liczba przypadków</t>
  </si>
  <si>
    <t>Zaliczone</t>
  </si>
  <si>
    <t>Niezaliczone</t>
  </si>
  <si>
    <t>Pokrycie</t>
  </si>
  <si>
    <t>Pola formularza i przycisk „Kup”</t>
  </si>
  <si>
    <t>Imię 2–30 znaków: litery, spacja, myślnik</t>
  </si>
  <si>
    <t>TC-FRM-001, TC-FRM-002</t>
  </si>
  <si>
    <t>Poprawny adres e-mail</t>
  </si>
  <si>
    <t>Wiek: liczba całkowita 1–120</t>
  </si>
  <si>
    <t>Liczba biletów: liczba całkowita 1–10</t>
  </si>
  <si>
    <t>Kod promocyjny opcjonalny</t>
  </si>
  <si>
    <t>Lista wszystkich błędów, brak zakupu</t>
  </si>
  <si>
    <t>TC-FRM-001, TC-FRM-003, TC-FRM-004, TC-FRM-006</t>
  </si>
  <si>
    <t>REQ-FRM-08</t>
  </si>
  <si>
    <t>Podsumowanie i „Dziękujemy za zakup!”</t>
  </si>
  <si>
    <t>TC-FRM-002, TC-FRM-005</t>
  </si>
  <si>
    <t>Bilet normalny 30,00 zł</t>
  </si>
  <si>
    <t>Ulga 50%: wiek &lt; 18 lub ≥ 65</t>
  </si>
  <si>
    <t>TC-CEN-001, TC-CEN-002, TC-CEN-003</t>
  </si>
  <si>
    <t>Rabat 15% / 10% / 0% (karta, kod)</t>
  </si>
  <si>
    <t>TC-CEN-004, TC-CEN-005, TC-CEN-006</t>
  </si>
  <si>
    <t>Kod KINO10, wielkość liter bez znaczenia</t>
  </si>
  <si>
    <t>TC-CEN-007, TC-CEN-008</t>
  </si>
  <si>
    <t>Opłata 2,00 zł; bez opłaty: karta lub ≥ 100,00 zł</t>
  </si>
  <si>
    <t>TC-CEN-004, TC-CEN-005, TC-CEN-006, TC-CEN-007</t>
  </si>
  <si>
    <t>Wzór kwoty suma końcowa, zaokrąglenie</t>
  </si>
  <si>
    <t>TC-CEN-001, TC-CEN-002, TC-CEN-003, TC-CEN-009</t>
  </si>
  <si>
    <t>Format kwot „0,00 zł”</t>
  </si>
  <si>
    <t>Karta sesji</t>
  </si>
  <si>
    <t>S1</t>
  </si>
  <si>
    <t>Zbadaj</t>
  </si>
  <si>
    <t>Symulator KinoTO (Symulator_KinoTO.xlsx) – cały formularz i podsumowanie</t>
  </si>
  <si>
    <t>Używając</t>
  </si>
  <si>
    <t>niestandardowych danych wejściowych: puste wartości, białe znaki, wartości ujemne, ułamki, maksymalnie długie ciągi, znaki specjalne oraz różne wariacje zniżek</t>
  </si>
  <si>
    <t>Aby</t>
  </si>
  <si>
    <t>wykrycia błędów w sprawdzaniu poprawności danych, kalkulowaniu cen oraz sposobie pokazywania danych końcowych</t>
  </si>
  <si>
    <t>Czas</t>
  </si>
  <si>
    <t>1h</t>
  </si>
  <si>
    <t>Tester</t>
  </si>
  <si>
    <t>Data</t>
  </si>
  <si>
    <t>Co sprawdzono (dane wejściowe)</t>
  </si>
  <si>
    <t>Obserwacja (co się stało)</t>
  </si>
  <si>
    <t>Ocena</t>
  </si>
  <si>
    <t>ID raportu / pytania</t>
  </si>
  <si>
    <t>Czas [min]</t>
  </si>
  <si>
    <t>Wiek: -5, reszta poprawna</t>
  </si>
  <si>
    <t>Komunikat „Podaj wiek od 1 do 120.”, brak podsumowania</t>
  </si>
  <si>
    <t>OK</t>
  </si>
  <si>
    <t>Wszystkie pola puste, tylko wybrane Karta: Tak</t>
  </si>
  <si>
    <t>Komunikaty o błędach: „Podaj poprawne imię”,  „Niepoprawny adres e-mail”, „Podaj wiek od 1 do 120”, „Można kupić od 1 do 10 biletów”, brak podsumowania</t>
  </si>
  <si>
    <t>Imię: same spacje (3 spacje), reszta poprawna</t>
  </si>
  <si>
    <t>Formularz akceptuje imię, przechodzi do podsumowania</t>
  </si>
  <si>
    <t>Defekt</t>
  </si>
  <si>
    <t>DEF-005</t>
  </si>
  <si>
    <t>Wiek: 25.5 (ułamek z kropką), reszta poprawna</t>
  </si>
  <si>
    <t>Wiek: 25,5 (ułamek z przecinkiem), reszta poprawna</t>
  </si>
  <si>
    <t>Liczba biletów: -1, reszta poprawna</t>
  </si>
  <si>
    <t>Komunikat „Można kupić od 1 do 10 biletów.”, brak podsumowania</t>
  </si>
  <si>
    <t>Liczba biletów: 0, reszta poprawna</t>
  </si>
  <si>
    <t>Kod promocyjny: bArDzOdLuGiKoDpRoMoCyJnY12345, reszta popr.</t>
  </si>
  <si>
    <t>Kod zignorowany (komunikat o pominięciu), proces zakupu kontynuowany</t>
  </si>
  <si>
    <t>Imię: Żółć (polskie znaki), reszta popr.</t>
  </si>
  <si>
    <t>Brak komunikatów, wyświetla się potwierdzenie i koszty.</t>
  </si>
  <si>
    <t>E-mail: test@, reszta poprawna</t>
  </si>
  <si>
    <t>Komunikat „Niepoprawny adres e-mail.”, brak podsumowania</t>
  </si>
  <si>
    <t>Imię: bardzo długi ciąg (100 znaków), reszta popr.</t>
  </si>
  <si>
    <t>Komunikat „Podaj poprawne imię.”, pole nie blokuje wpisywania znaków</t>
  </si>
  <si>
    <t>Tytuł (krótki opis awarii)</t>
  </si>
  <si>
    <t>Zgłaszający</t>
  </si>
  <si>
    <t>Obiekt testów / URL</t>
  </si>
  <si>
    <t>Środowisko</t>
  </si>
  <si>
    <t>Kroki do odtworzenia</t>
  </si>
  <si>
    <t>Ważność</t>
  </si>
  <si>
    <t>Powtarzalność</t>
  </si>
  <si>
    <t>Powiązany przypadek / wymaganie</t>
  </si>
  <si>
    <t>Załączniki</t>
  </si>
  <si>
    <t>Błąd walidacji: w polu Imię można wprowadzić wyłącznie puste spacje</t>
  </si>
  <si>
    <t>KinoTO 1.0 (Symulator_KinoTO.xlsx)</t>
  </si>
  <si>
    <t>Windows 11, MS Excel</t>
  </si>
  <si>
    <t>Plik Symulator_KinoTO.xlsx otwarty, wszystkie wejściowe żółte pola puste.</t>
  </si>
  <si>
    <t>1. W pole "Imię" wpisz same spacje 
2. Wpisz poprawne dane w pozostałe pola 
3. Odczytaj wynik z ekranu.</t>
  </si>
  <si>
    <t>Formularz powinien odrzucić takie dane i wyświetlić komunikat: "Podaj poprawne imię.".</t>
  </si>
  <si>
    <t xml:space="preserve">Formularz akceptuje imię </t>
  </si>
  <si>
    <t>Wysoka</t>
  </si>
  <si>
    <t>Niska</t>
  </si>
  <si>
    <t>Zawsze</t>
  </si>
  <si>
    <t>Otwarty</t>
  </si>
  <si>
    <t>REQ-FRM-02, Sesja eksploracyjna</t>
  </si>
  <si>
    <t>img_001.png</t>
  </si>
  <si>
    <t>Brak walidacji na obecność jakichkolwiek widocznych znaków.</t>
  </si>
  <si>
    <t>DEF-006</t>
  </si>
  <si>
    <t>Błąd w wyliczeniach: system nie przyznaje 50% zniżki dla osób powyżej 64 roku życia</t>
  </si>
  <si>
    <t>1. W pole "Wiek" wpisz 65.
2. Wpisz poprawne dane w pozostałe pola (bez kodów, karta: Nie).
3. Odczytaj podsumowanie.</t>
  </si>
  <si>
    <t>Nowy</t>
  </si>
  <si>
    <t>REQ-CEN-02, TC-CEN-003</t>
  </si>
  <si>
    <t>img_002.png</t>
  </si>
  <si>
    <t>Program pomija warunek &gt;= 65 lat</t>
  </si>
  <si>
    <t>Błąd limitu zniżki: sumowanie Karty i Kodu daje 20% rabatu, choć limit wynosi 15%</t>
  </si>
  <si>
    <t>1. Zaznacz pole "Mam Kartę Kinomaniaka" na "Tak".
2. Wpisz poprawny kod "KINO10".
3. Wpisz poprawne dane w pozostałe pola.
4. Odczytaj podsumowanie.</t>
  </si>
  <si>
    <t>Oczekiwano: rabat 15%</t>
  </si>
  <si>
    <t>System połączył promocje (10% + 10%). Rzeczywisty wynik: rabat 20%</t>
  </si>
  <si>
    <t>REQ-CEN-03, TC-CEN-004</t>
  </si>
  <si>
    <t>img_003.png</t>
  </si>
  <si>
    <t>Rabaty są niepoprawnie sumowane.</t>
  </si>
  <si>
    <t>Błąd kodów: formularz nie rozpoznaje prawidłowego kodu napisanego małymi literami</t>
  </si>
  <si>
    <t>1. W polu "Kod promocyjny" wpisz "kino10" 
2. Uzupełnij resztę formularza poprawnymi danymi.
3. Odczytaj podsumowanie.</t>
  </si>
  <si>
    <t>Zgodnie z REQ-CEN-04 wielkość liter nie ma znaczenia. System powinien naliczyć 10% rabatu.</t>
  </si>
  <si>
    <t>Pojawia się komunikat "Nieprawidłowy kod - pominięto". W podsumowaniu widnieje rabat 0%.</t>
  </si>
  <si>
    <t>REQ-CEN-04, TC-CEN-008</t>
  </si>
  <si>
    <t>img_004.png</t>
  </si>
  <si>
    <t>Walidacja kodu jest wrażliwa na wielkość liter niezgodnie ze specyfikacją.</t>
  </si>
  <si>
    <t>Obszar</t>
  </si>
  <si>
    <t>Pozycja kontrolna (pytanie; „Tak” = OK)</t>
  </si>
  <si>
    <t>Wynik</t>
  </si>
  <si>
    <t>Uwagi / dowód</t>
  </si>
  <si>
    <t>CHK-01</t>
  </si>
  <si>
    <t>Zgodność ze specyfikacją</t>
  </si>
  <si>
    <t>Czy wszystkie pola wymagane (Imię, E-mail, Wiek, Liczba biletów) są obecne w formularzu?</t>
  </si>
  <si>
    <t>Tak</t>
  </si>
  <si>
    <t>Zgodność z wymaganiem REQ-FRM-01</t>
  </si>
  <si>
    <t>CHK-02</t>
  </si>
  <si>
    <t>Czy formularz zawiera opcjonalne pole "Kod promocyjny"?</t>
  </si>
  <si>
    <t>Zgodność z wymaganiem REQ-FRM-01 i REQ-FRM-06</t>
  </si>
  <si>
    <t>CHK-03</t>
  </si>
  <si>
    <t>Czy formularz zawiera pole wyboru "Mam Kartę Kinomaniaka"?</t>
  </si>
  <si>
    <t>CHK-04</t>
  </si>
  <si>
    <t>Komunikaty</t>
  </si>
  <si>
    <t>Czy przy próbie zakupu bez wpisania jakichkolwiek danych (wszystkie pola puste), wyświetlane są komunikaty błędów dla każdego wymaganego pola?</t>
  </si>
  <si>
    <t>Wyświetlają się komunikaty o wszysetkich błędach</t>
  </si>
  <si>
    <t>CHK-05</t>
  </si>
  <si>
    <t>Czy wpisanie niepoprawnego formatu adresu e-mail generuje DOKŁADNIE komunikat "Niepoprawny adres e-mail."?</t>
  </si>
  <si>
    <t>Komunikat jest poprawny.</t>
  </si>
  <si>
    <t>CHK-06</t>
  </si>
  <si>
    <t>Prezentacja wyników</t>
  </si>
  <si>
    <t>Czy wszystkie kwoty w podsumowaniu wyświetlają się z dwoma miejscami po przecinku i przyrostkiem " zł"?</t>
  </si>
  <si>
    <t>Wartości takie jak "30,00 zł" są formatowane prawidłowo (REQ-CEN-07).</t>
  </si>
  <si>
    <t>CHK-07</t>
  </si>
  <si>
    <t>Czy przy błędnych danych wejściowych, sekcja podsumowania jest całkowicie ukrywana/czyszczona?</t>
  </si>
  <si>
    <t>Zgodność z wymaganiem REQ-FRM-07.</t>
  </si>
  <si>
    <t>CHK-08</t>
  </si>
  <si>
    <t>Użyteczność</t>
  </si>
  <si>
    <t>Czy kolejność pół w formularzu jest logiczna i odpowiada standardom wypełniania?</t>
  </si>
  <si>
    <t>Pola są ułożone czytelnie od góry do dołu.</t>
  </si>
  <si>
    <t>CHK-09</t>
  </si>
  <si>
    <t>Czy brak kodu promocyjnego lub błędny kod nie blokują transakcji?</t>
  </si>
  <si>
    <t>Nie</t>
  </si>
  <si>
    <t>Odrzuca prawidłowy kod pisany małymi literami.</t>
  </si>
  <si>
    <t>CHK-10</t>
  </si>
  <si>
    <t>Czy etykiety poszczególnych pól jasno wskazują, jakiego formatu danych oczekuje system?</t>
  </si>
  <si>
    <t>Brak podpowiedzi informujących, że ułamki przy wieku są zakazane.</t>
  </si>
  <si>
    <t>PYT-002</t>
  </si>
  <si>
    <t>Pozycja</t>
  </si>
  <si>
    <t>Wartość</t>
  </si>
  <si>
    <t>Komentarz</t>
  </si>
  <si>
    <t>IDENTYFIKACJA</t>
  </si>
  <si>
    <t>Identyfikator raportu</t>
  </si>
  <si>
    <t>Obiekt testów</t>
  </si>
  <si>
    <t>Symulator_KinoTO.xlsx</t>
  </si>
  <si>
    <t>Okres testów</t>
  </si>
  <si>
    <t>Autor</t>
  </si>
  <si>
    <t>PRZYPADKI TESTOWE</t>
  </si>
  <si>
    <t>Zaprojektowane przypadki testowe</t>
  </si>
  <si>
    <t>Zablokowane</t>
  </si>
  <si>
    <t>Pominięte</t>
  </si>
  <si>
    <t>Nie wykonano</t>
  </si>
  <si>
    <t>% wykonanych (zaliczone + niezaliczone)</t>
  </si>
  <si>
    <t>% zaliczonych spośród wykonanych</t>
  </si>
  <si>
    <t>WYMAGANIA (MACIERZ ŚLEDZENIA)</t>
  </si>
  <si>
    <t>Wymagania w macierzy</t>
  </si>
  <si>
    <t>Wymagania pokryte przypadkami</t>
  </si>
  <si>
    <t>% pokrycia wymagań</t>
  </si>
  <si>
    <t>LISTA KONTROLNA</t>
  </si>
  <si>
    <t>Pozycje listy kontrolnej</t>
  </si>
  <si>
    <t>Wynik „Tak”</t>
  </si>
  <si>
    <t>Wynik „Nie”</t>
  </si>
  <si>
    <t>Nie dotyczy / nie sprawdzono</t>
  </si>
  <si>
    <t>DEFEKTY</t>
  </si>
  <si>
    <t>Zgłoszone defekty</t>
  </si>
  <si>
    <t>– krytyczne</t>
  </si>
  <si>
    <t>– wysokie</t>
  </si>
  <si>
    <t>– średnie</t>
  </si>
  <si>
    <t>– niskie</t>
  </si>
  <si>
    <t>Otwarte (bez Zamknięty i Odrzucony)</t>
  </si>
  <si>
    <t>OCENA</t>
  </si>
  <si>
    <t>Zakres wykonanych prac i odstępstwa od planu</t>
  </si>
  <si>
    <t>Zrealizowano cały zakładany plan testów obejmujący przegląd wymagań, projekt 15 przypadków testowych, weryfikację listy kontrolnej i testy eksploracyjne. Skontrolowano pełen zakres zaplanowanych do testów funkcjonalności formularza.</t>
  </si>
  <si>
    <t>Najważniejsze problemy i ryzyka</t>
  </si>
  <si>
    <t>Kluczowe ryzyka wynikają z błędów w mechanizmach finansowych: aplikacja wadliwie łączy zniżki promocyjne, źle przetwarza małe litery w kodach i nie uwzględnia zniżek dla osób starszych (od 65 lat). Wykryto także problemy z akceptacją znaków diakrytycznych w polu imienia, co może zniechęcić użytkowników.</t>
  </si>
  <si>
    <t>Kryteria wyjścia spełnione?</t>
  </si>
  <si>
    <t>Niespełnione. Pomimo realizacji wszystkich wysokopriorytetowych testów i uzyskania zaplanowanego pokrycia, wciąż mamy 4 nierozwiązane błędy o wysokiej ważności. Założenia końcowe wymagały braku tego typu defektów, co blokuje pozytywne zakończenie fazy testów.</t>
  </si>
  <si>
    <t>Rekomendacja</t>
  </si>
  <si>
    <t>Zalecenie: Kategorycznie wstrzymać wdrożenie na produkcję. Wymagane jest priorytetowe usunięcie usterek w module obliczania kosztów biletów.</t>
  </si>
  <si>
    <t>Wnioski na przyszłość (lessons learned)</t>
  </si>
  <si>
    <t>Braki i nieścisłości w dokumentacji wymagań zaowocowały błędami w finalnym oprogramowaniu. Kolejne projekty powinny uwzględniać bardziej rygorystyczny przegląd statyczny reguł biznesowych przed startem prac.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</si>
</sst>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1"/>
    </font>
    <font>
      <b/>
      <sz val="14"/>
      <name val="Cambria"/>
      <charset val="1"/>
    </font>
    <font>
      <i/>
      <sz val="11"/>
      <name val="Cambria"/>
      <charset val="1"/>
    </font>
    <font>
      <b/>
      <sz val="11"/>
      <name val="Cambria"/>
      <charset val="1"/>
    </font>
    <font>
      <b/>
      <sz val="11"/>
      <color rgb="FFFFFFFF"/>
      <name val="Cambria"/>
      <charset val="1"/>
    </font>
    <font>
      <sz val="11"/>
      <name val="Cambria"/>
      <charset val="1"/>
    </font>
    <font>
      <sz val="11"/>
      <color rgb="FF000000"/>
      <name val="Calibri"/>
    </font>
    <font>
      <sz val="11"/>
      <color rgb="FF000000"/>
      <name val="Calibri"/>
      <charset val="1"/>
    </font>
    <font>
      <sz val="11"/>
      <color rgb="FF000000"/>
      <name val="Calibri"/>
      <scheme val="minor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1F4E78"/>
        <bgColor rgb="FF003366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2" xfId="0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top"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0" borderId="0" xfId="0" applyFont="1"/>
    <xf numFmtId="0" fontId="3" fillId="2" borderId="0" xfId="0" applyFont="1" applyFill="1"/>
    <xf numFmtId="0" fontId="0" fillId="2" borderId="0" xfId="0" applyFill="1"/>
    <xf numFmtId="0" fontId="5" fillId="0" borderId="1" xfId="0" applyFont="1" applyBorder="1" applyAlignment="1">
      <alignment vertical="top" wrapText="1"/>
    </xf>
    <xf numFmtId="9" fontId="0" fillId="0" borderId="1" xfId="0" applyNumberFormat="1" applyBorder="1" applyAlignment="1">
      <alignment vertical="top" wrapText="1"/>
    </xf>
    <xf numFmtId="0" fontId="0" fillId="0" borderId="0" xfId="0" applyAlignment="1">
      <alignment wrapText="1"/>
    </xf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14" fontId="0" fillId="0" borderId="0" xfId="0" applyNumberFormat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14" fontId="0" fillId="0" borderId="2" xfId="0" applyNumberFormat="1" applyBorder="1" applyAlignment="1">
      <alignment horizontal="left" vertical="top" wrapText="1"/>
    </xf>
    <xf numFmtId="1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horizontal="right" vertical="top" wrapText="1"/>
    </xf>
    <xf numFmtId="0" fontId="0" fillId="0" borderId="3" xfId="0" applyBorder="1" applyAlignment="1"/>
    <xf numFmtId="0" fontId="0" fillId="0" borderId="4" xfId="0" applyBorder="1" applyAlignment="1"/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zoomScaleNormal="100" workbookViewId="0">
      <pane ySplit="1" topLeftCell="A49" activePane="bottomLeft" state="frozen"/>
      <selection pane="bottomLeft" activeCell="B4" sqref="B4"/>
    </sheetView>
  </sheetViews>
  <sheetFormatPr defaultColWidth="8.7109375" defaultRowHeight="15"/>
  <cols>
    <col min="1" max="1" width="28" customWidth="1"/>
    <col min="2" max="2" width="110" customWidth="1"/>
  </cols>
  <sheetData>
    <row r="1" spans="1:2" ht="34.35" customHeight="1">
      <c r="A1" s="2" t="s">
        <v>0</v>
      </c>
      <c r="B1" s="3" t="s">
        <v>1</v>
      </c>
    </row>
    <row r="2" spans="1:2" ht="29.25" customHeight="1">
      <c r="A2" s="4" t="s">
        <v>2</v>
      </c>
      <c r="B2" s="5" t="s">
        <v>3</v>
      </c>
    </row>
    <row r="3" spans="1:2">
      <c r="A3" s="4" t="s">
        <v>4</v>
      </c>
      <c r="B3" s="5" t="s">
        <v>5</v>
      </c>
    </row>
    <row r="4" spans="1:2" ht="28.35" customHeight="1">
      <c r="A4" s="4" t="s">
        <v>6</v>
      </c>
      <c r="B4" s="5" t="s">
        <v>7</v>
      </c>
    </row>
    <row r="5" spans="1:2">
      <c r="A5" s="4"/>
      <c r="B5" s="5"/>
    </row>
    <row r="6" spans="1:2">
      <c r="A6" s="6" t="s">
        <v>8</v>
      </c>
      <c r="B6" s="5"/>
    </row>
    <row r="7" spans="1:2" ht="28.35" customHeight="1">
      <c r="A7" s="4" t="s">
        <v>9</v>
      </c>
      <c r="B7" s="5" t="s">
        <v>10</v>
      </c>
    </row>
    <row r="8" spans="1:2">
      <c r="A8" s="4" t="s">
        <v>11</v>
      </c>
      <c r="B8" s="5" t="s">
        <v>12</v>
      </c>
    </row>
    <row r="9" spans="1:2" ht="28.35" customHeight="1">
      <c r="A9" s="4" t="s">
        <v>13</v>
      </c>
      <c r="B9" s="5" t="s">
        <v>14</v>
      </c>
    </row>
    <row r="10" spans="1:2" ht="28.35" customHeight="1">
      <c r="A10" s="4" t="s">
        <v>15</v>
      </c>
      <c r="B10" s="5" t="s">
        <v>16</v>
      </c>
    </row>
    <row r="11" spans="1:2">
      <c r="A11" s="4" t="s">
        <v>17</v>
      </c>
      <c r="B11" s="5" t="s">
        <v>18</v>
      </c>
    </row>
    <row r="12" spans="1:2" ht="28.35" customHeight="1">
      <c r="A12" s="4" t="s">
        <v>19</v>
      </c>
      <c r="B12" s="5" t="s">
        <v>20</v>
      </c>
    </row>
    <row r="13" spans="1:2" ht="28.35" customHeight="1">
      <c r="A13" s="4" t="s">
        <v>21</v>
      </c>
      <c r="B13" s="5" t="s">
        <v>22</v>
      </c>
    </row>
    <row r="14" spans="1:2">
      <c r="A14" s="4" t="s">
        <v>23</v>
      </c>
      <c r="B14" s="5" t="s">
        <v>24</v>
      </c>
    </row>
    <row r="15" spans="1:2">
      <c r="A15" s="4"/>
      <c r="B15" s="5"/>
    </row>
    <row r="16" spans="1:2" ht="41.85" customHeight="1">
      <c r="A16" s="6" t="s">
        <v>25</v>
      </c>
      <c r="B16" s="5" t="s">
        <v>26</v>
      </c>
    </row>
    <row r="17" spans="1:2" ht="41.85" customHeight="1">
      <c r="A17" s="4" t="s">
        <v>27</v>
      </c>
      <c r="B17" s="5" t="s">
        <v>28</v>
      </c>
    </row>
    <row r="18" spans="1:2" ht="41.85" customHeight="1">
      <c r="A18" s="4" t="s">
        <v>29</v>
      </c>
      <c r="B18" s="5" t="s">
        <v>30</v>
      </c>
    </row>
    <row r="19" spans="1:2" ht="28.35" customHeight="1">
      <c r="A19" s="6" t="s">
        <v>31</v>
      </c>
      <c r="B19" s="5" t="s">
        <v>32</v>
      </c>
    </row>
    <row r="20" spans="1:2" ht="28.35" customHeight="1">
      <c r="A20" s="6" t="s">
        <v>33</v>
      </c>
      <c r="B20" s="5" t="s">
        <v>34</v>
      </c>
    </row>
    <row r="21" spans="1:2">
      <c r="A21" s="4" t="s">
        <v>35</v>
      </c>
      <c r="B21" s="5" t="s">
        <v>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zoomScaleNormal="100" workbookViewId="0">
      <pane ySplit="1" topLeftCell="A2" activePane="bottomLeft" state="frozen"/>
      <selection pane="bottomLeft" activeCell="D12" sqref="D12"/>
    </sheetView>
  </sheetViews>
  <sheetFormatPr defaultColWidth="8.7109375" defaultRowHeight="15"/>
  <cols>
    <col min="1" max="1" width="6" customWidth="1"/>
    <col min="2" max="2" width="18" customWidth="1"/>
    <col min="3" max="3" width="20" customWidth="1"/>
    <col min="4" max="4" width="69.28515625" customWidth="1"/>
    <col min="5" max="5" width="114.42578125" customWidth="1"/>
  </cols>
  <sheetData>
    <row r="1" spans="1:5" ht="31.5" customHeight="1">
      <c r="A1" s="7" t="s">
        <v>37</v>
      </c>
      <c r="B1" s="7" t="s">
        <v>38</v>
      </c>
      <c r="C1" s="7" t="s">
        <v>39</v>
      </c>
      <c r="D1" s="7" t="s">
        <v>40</v>
      </c>
      <c r="E1" s="7" t="s">
        <v>41</v>
      </c>
    </row>
    <row r="2" spans="1:5" ht="30.75" customHeight="1">
      <c r="A2" s="22">
        <v>1</v>
      </c>
      <c r="B2" s="22" t="s">
        <v>42</v>
      </c>
      <c r="C2" s="15" t="s">
        <v>43</v>
      </c>
      <c r="D2" s="15" t="s">
        <v>44</v>
      </c>
      <c r="E2" s="15" t="s">
        <v>45</v>
      </c>
    </row>
    <row r="3" spans="1:5" ht="30.75" customHeight="1">
      <c r="A3" s="15">
        <v>2</v>
      </c>
      <c r="B3" s="15" t="s">
        <v>42</v>
      </c>
      <c r="C3" s="15" t="s">
        <v>46</v>
      </c>
      <c r="D3" s="15" t="s">
        <v>47</v>
      </c>
      <c r="E3" s="15" t="s">
        <v>48</v>
      </c>
    </row>
    <row r="4" spans="1:5" ht="30.75" customHeight="1">
      <c r="A4" s="15">
        <v>3</v>
      </c>
      <c r="B4" s="15" t="s">
        <v>49</v>
      </c>
      <c r="C4" s="16" t="s">
        <v>46</v>
      </c>
      <c r="D4" s="15" t="s">
        <v>50</v>
      </c>
      <c r="E4" s="15" t="s">
        <v>51</v>
      </c>
    </row>
    <row r="5" spans="1:5" ht="30.75" customHeight="1">
      <c r="A5" s="15">
        <v>4</v>
      </c>
      <c r="B5" s="15" t="s">
        <v>52</v>
      </c>
      <c r="C5" s="15" t="s">
        <v>43</v>
      </c>
      <c r="D5" s="15" t="s">
        <v>53</v>
      </c>
      <c r="E5" s="15" t="s">
        <v>54</v>
      </c>
    </row>
    <row r="6" spans="1:5" ht="30.75" customHeight="1">
      <c r="A6" s="15">
        <v>5</v>
      </c>
      <c r="B6" s="17" t="s">
        <v>55</v>
      </c>
      <c r="C6" s="15" t="s">
        <v>46</v>
      </c>
      <c r="D6" s="15" t="s">
        <v>56</v>
      </c>
      <c r="E6" s="15" t="s">
        <v>57</v>
      </c>
    </row>
    <row r="7" spans="1:5" ht="45.75" customHeight="1">
      <c r="A7" s="15">
        <v>6</v>
      </c>
      <c r="B7" s="15" t="s">
        <v>58</v>
      </c>
      <c r="C7" s="15" t="s">
        <v>59</v>
      </c>
      <c r="D7" s="15" t="s">
        <v>60</v>
      </c>
      <c r="E7" s="15" t="s">
        <v>61</v>
      </c>
    </row>
  </sheetData>
  <autoFilter ref="A1:E1" xr:uid="{00000000-0009-0000-0000-000001000000}"/>
  <dataValidations count="1">
    <dataValidation type="list" showErrorMessage="1" errorTitle="Rodzaj problemu" error="Wybierz wartość z listy rozwijanej." promptTitle="Rodzaj problemu" prompt="Wybierz z listy" sqref="C3 C5:C200" xr:uid="{00000000-0002-0000-0100-000000000000}">
      <formula1>"Niejednoznaczność,Brak (niekompletne),Sprzeczność,Nietestowalne,Inne"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8"/>
  <sheetViews>
    <sheetView zoomScaleNormal="100" workbookViewId="0">
      <pane ySplit="1" topLeftCell="A4" activePane="bottomLeft" state="frozen"/>
      <selection pane="bottomLeft" activeCell="D4" sqref="D4"/>
    </sheetView>
  </sheetViews>
  <sheetFormatPr defaultColWidth="8.7109375" defaultRowHeight="15"/>
  <cols>
    <col min="1" max="1" width="12" customWidth="1"/>
    <col min="2" max="2" width="55" customWidth="1"/>
    <col min="3" max="3" width="18" customWidth="1"/>
    <col min="4" max="4" width="12" customWidth="1"/>
    <col min="5" max="5" width="40" customWidth="1"/>
  </cols>
  <sheetData>
    <row r="1" spans="1:5" ht="31.5" customHeight="1">
      <c r="A1" s="7" t="s">
        <v>62</v>
      </c>
      <c r="B1" s="7" t="s">
        <v>63</v>
      </c>
      <c r="C1" s="7" t="s">
        <v>38</v>
      </c>
      <c r="D1" s="7" t="s">
        <v>64</v>
      </c>
      <c r="E1" s="7" t="s">
        <v>65</v>
      </c>
    </row>
    <row r="2" spans="1:5" ht="30.75" customHeight="1">
      <c r="A2" s="15" t="s">
        <v>66</v>
      </c>
      <c r="B2" s="22" t="s">
        <v>67</v>
      </c>
      <c r="C2" s="22" t="s">
        <v>42</v>
      </c>
      <c r="D2" s="22" t="s">
        <v>68</v>
      </c>
      <c r="E2" s="15" t="s">
        <v>69</v>
      </c>
    </row>
    <row r="3" spans="1:5" ht="30.75" customHeight="1">
      <c r="A3" s="15" t="s">
        <v>70</v>
      </c>
      <c r="B3" s="15" t="s">
        <v>71</v>
      </c>
      <c r="C3" s="15" t="s">
        <v>42</v>
      </c>
      <c r="D3" s="15" t="s">
        <v>68</v>
      </c>
      <c r="E3" s="15" t="s">
        <v>72</v>
      </c>
    </row>
    <row r="4" spans="1:5" ht="45.75" customHeight="1">
      <c r="A4" s="15" t="s">
        <v>73</v>
      </c>
      <c r="B4" s="15" t="s">
        <v>74</v>
      </c>
      <c r="C4" s="15" t="s">
        <v>42</v>
      </c>
      <c r="D4" s="15" t="s">
        <v>68</v>
      </c>
      <c r="E4" s="15" t="s">
        <v>75</v>
      </c>
    </row>
    <row r="5" spans="1:5" ht="30.75" customHeight="1">
      <c r="A5" s="15" t="s">
        <v>76</v>
      </c>
      <c r="B5" s="15" t="s">
        <v>77</v>
      </c>
      <c r="C5" s="15" t="s">
        <v>49</v>
      </c>
      <c r="D5" s="15" t="s">
        <v>68</v>
      </c>
      <c r="E5" s="15" t="s">
        <v>78</v>
      </c>
    </row>
    <row r="6" spans="1:5" ht="30.75" customHeight="1">
      <c r="A6" s="15" t="s">
        <v>79</v>
      </c>
      <c r="B6" s="15" t="s">
        <v>80</v>
      </c>
      <c r="C6" s="15" t="s">
        <v>81</v>
      </c>
      <c r="D6" s="15" t="s">
        <v>68</v>
      </c>
      <c r="E6" s="19" t="s">
        <v>82</v>
      </c>
    </row>
    <row r="7" spans="1:5" ht="30.75" customHeight="1">
      <c r="A7" s="15" t="s">
        <v>83</v>
      </c>
      <c r="B7" s="15" t="s">
        <v>84</v>
      </c>
      <c r="C7" s="15" t="s">
        <v>81</v>
      </c>
      <c r="D7" s="15" t="s">
        <v>68</v>
      </c>
      <c r="E7" s="19" t="s">
        <v>85</v>
      </c>
    </row>
    <row r="8" spans="1:5" ht="30.75" customHeight="1">
      <c r="A8" s="15" t="s">
        <v>86</v>
      </c>
      <c r="B8" s="15" t="s">
        <v>87</v>
      </c>
      <c r="C8" s="15" t="s">
        <v>52</v>
      </c>
      <c r="D8" s="15" t="s">
        <v>88</v>
      </c>
      <c r="E8" s="19" t="s">
        <v>89</v>
      </c>
    </row>
    <row r="9" spans="1:5" ht="30.75" customHeight="1">
      <c r="A9" s="15" t="s">
        <v>90</v>
      </c>
      <c r="B9" s="15" t="s">
        <v>91</v>
      </c>
      <c r="C9" s="15" t="s">
        <v>92</v>
      </c>
      <c r="D9" s="15" t="s">
        <v>93</v>
      </c>
      <c r="E9" s="19" t="s">
        <v>94</v>
      </c>
    </row>
    <row r="10" spans="1:5" ht="60.75" customHeight="1">
      <c r="A10" s="15" t="s">
        <v>95</v>
      </c>
      <c r="B10" s="15" t="s">
        <v>96</v>
      </c>
      <c r="C10" s="15" t="s">
        <v>97</v>
      </c>
      <c r="D10" s="15" t="s">
        <v>88</v>
      </c>
      <c r="E10" s="19" t="s">
        <v>98</v>
      </c>
    </row>
    <row r="11" spans="1:5" ht="45.75" customHeight="1">
      <c r="A11" s="15" t="s">
        <v>99</v>
      </c>
      <c r="B11" s="15" t="s">
        <v>100</v>
      </c>
      <c r="C11" s="15" t="s">
        <v>101</v>
      </c>
      <c r="D11" s="15" t="s">
        <v>88</v>
      </c>
      <c r="E11" s="19" t="s">
        <v>102</v>
      </c>
    </row>
    <row r="12" spans="1:5" ht="30.75" customHeight="1">
      <c r="A12" s="15" t="s">
        <v>103</v>
      </c>
      <c r="B12" s="15" t="s">
        <v>104</v>
      </c>
      <c r="C12" s="15" t="s">
        <v>105</v>
      </c>
      <c r="D12" s="15" t="s">
        <v>88</v>
      </c>
      <c r="E12" s="19" t="s">
        <v>106</v>
      </c>
    </row>
    <row r="13" spans="1:5" ht="30.75" customHeight="1">
      <c r="A13" s="15" t="s">
        <v>107</v>
      </c>
      <c r="B13" s="15" t="s">
        <v>108</v>
      </c>
      <c r="C13" s="15" t="s">
        <v>58</v>
      </c>
      <c r="D13" s="15" t="s">
        <v>88</v>
      </c>
      <c r="E13" s="19" t="s">
        <v>109</v>
      </c>
    </row>
    <row r="14" spans="1:5" ht="45.75" customHeight="1">
      <c r="A14" s="15" t="s">
        <v>110</v>
      </c>
      <c r="B14" s="15" t="s">
        <v>111</v>
      </c>
      <c r="C14" s="15" t="s">
        <v>112</v>
      </c>
      <c r="D14" s="15" t="s">
        <v>88</v>
      </c>
      <c r="E14" s="19" t="s">
        <v>113</v>
      </c>
    </row>
    <row r="15" spans="1:5" ht="45.75" customHeight="1">
      <c r="A15" s="15" t="s">
        <v>114</v>
      </c>
      <c r="B15" s="15" t="s">
        <v>115</v>
      </c>
      <c r="C15" s="15" t="s">
        <v>112</v>
      </c>
      <c r="D15" s="15" t="s">
        <v>88</v>
      </c>
      <c r="E15" s="19" t="s">
        <v>116</v>
      </c>
    </row>
    <row r="16" spans="1:5" ht="45.75" customHeight="1">
      <c r="A16" s="15" t="s">
        <v>117</v>
      </c>
      <c r="B16" s="15" t="s">
        <v>118</v>
      </c>
      <c r="C16" s="15" t="s">
        <v>119</v>
      </c>
      <c r="D16" s="15" t="s">
        <v>68</v>
      </c>
      <c r="E16" s="19" t="s">
        <v>120</v>
      </c>
    </row>
    <row r="17" spans="1:5" ht="30.75" customHeight="1">
      <c r="A17" s="15" t="s">
        <v>121</v>
      </c>
      <c r="B17" s="15" t="s">
        <v>122</v>
      </c>
      <c r="C17" s="15" t="s">
        <v>119</v>
      </c>
      <c r="D17" s="15" t="s">
        <v>68</v>
      </c>
      <c r="E17" s="19" t="s">
        <v>123</v>
      </c>
    </row>
    <row r="18" spans="1:5" ht="45.75" customHeight="1">
      <c r="A18" s="15" t="s">
        <v>124</v>
      </c>
      <c r="B18" s="15" t="s">
        <v>125</v>
      </c>
      <c r="C18" s="15" t="s">
        <v>126</v>
      </c>
      <c r="D18" s="15" t="s">
        <v>88</v>
      </c>
      <c r="E18" s="19" t="s">
        <v>127</v>
      </c>
    </row>
    <row r="19" spans="1:5" ht="45.75" customHeight="1">
      <c r="A19" s="15" t="s">
        <v>128</v>
      </c>
      <c r="B19" s="15" t="s">
        <v>129</v>
      </c>
      <c r="C19" s="15" t="s">
        <v>126</v>
      </c>
      <c r="D19" s="15" t="s">
        <v>88</v>
      </c>
      <c r="E19" s="19" t="s">
        <v>130</v>
      </c>
    </row>
    <row r="20" spans="1:5" ht="45.75" customHeight="1">
      <c r="A20" s="15" t="s">
        <v>131</v>
      </c>
      <c r="B20" s="15" t="s">
        <v>132</v>
      </c>
      <c r="C20" s="15" t="s">
        <v>133</v>
      </c>
      <c r="D20" s="15" t="s">
        <v>88</v>
      </c>
      <c r="E20" s="19" t="s">
        <v>134</v>
      </c>
    </row>
    <row r="21" spans="1:5" ht="30.75" customHeight="1">
      <c r="A21" s="15" t="s">
        <v>135</v>
      </c>
      <c r="B21" s="15" t="s">
        <v>136</v>
      </c>
      <c r="C21" s="15" t="s">
        <v>137</v>
      </c>
      <c r="D21" s="15" t="s">
        <v>68</v>
      </c>
      <c r="E21" s="19" t="s">
        <v>138</v>
      </c>
    </row>
    <row r="22" spans="1:5">
      <c r="A22" s="15"/>
      <c r="B22" s="15"/>
      <c r="C22" s="15"/>
      <c r="D22" s="15"/>
      <c r="E22" s="15"/>
    </row>
    <row r="23" spans="1:5">
      <c r="A23" s="15"/>
      <c r="B23" s="15"/>
      <c r="C23" s="15"/>
      <c r="D23" s="15"/>
      <c r="E23" s="15"/>
    </row>
    <row r="24" spans="1:5">
      <c r="A24" s="15"/>
      <c r="B24" s="15"/>
      <c r="C24" s="15"/>
      <c r="D24" s="15"/>
      <c r="E24" s="15"/>
    </row>
    <row r="25" spans="1:5">
      <c r="A25" s="15"/>
      <c r="B25" s="15"/>
      <c r="C25" s="15"/>
      <c r="D25" s="15"/>
      <c r="E25" s="15"/>
    </row>
    <row r="26" spans="1:5">
      <c r="A26" s="15"/>
      <c r="B26" s="15"/>
      <c r="C26" s="15"/>
      <c r="D26" s="15"/>
      <c r="E26" s="15"/>
    </row>
    <row r="27" spans="1:5">
      <c r="A27" s="15"/>
      <c r="B27" s="15"/>
      <c r="C27" s="15"/>
      <c r="D27" s="15"/>
      <c r="E27" s="15"/>
    </row>
    <row r="28" spans="1:5">
      <c r="A28" s="15"/>
      <c r="B28" s="15"/>
      <c r="C28" s="15"/>
      <c r="D28" s="15"/>
      <c r="E28" s="15"/>
    </row>
  </sheetData>
  <autoFilter ref="A1:E1" xr:uid="{00000000-0009-0000-0000-000002000000}"/>
  <dataValidations count="1">
    <dataValidation type="list" showErrorMessage="1" errorTitle="Priorytet" error="Wybierz wartość z listy rozwijanej." promptTitle="Priorytet" prompt="Wybierz z listy" sqref="D2:D300" xr:uid="{00000000-0002-0000-0200-000000000000}">
      <formula1>"Wysoki,Średni,Niski"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16"/>
  <sheetViews>
    <sheetView zoomScaleNormal="100" workbookViewId="0">
      <pane xSplit="2" ySplit="1" topLeftCell="C9" activePane="bottomRight" state="frozen"/>
      <selection pane="bottomRight" activeCell="G12" sqref="G12"/>
      <selection pane="bottomLeft" activeCell="A2" sqref="A2"/>
      <selection pane="topRight" activeCell="C1" sqref="C1"/>
    </sheetView>
  </sheetViews>
  <sheetFormatPr defaultColWidth="8.7109375" defaultRowHeight="15"/>
  <cols>
    <col min="1" max="1" width="12" customWidth="1"/>
    <col min="2" max="2" width="34" customWidth="1"/>
    <col min="3" max="3" width="16" customWidth="1"/>
    <col min="4" max="4" width="15" customWidth="1"/>
    <col min="5" max="5" width="10" customWidth="1"/>
    <col min="6" max="6" width="30" customWidth="1"/>
    <col min="7" max="7" width="32" customWidth="1"/>
    <col min="8" max="8" width="44" customWidth="1"/>
    <col min="9" max="9" width="42" customWidth="1"/>
    <col min="10" max="10" width="30" customWidth="1"/>
    <col min="11" max="11" width="14" customWidth="1"/>
    <col min="12" max="12" width="11" customWidth="1"/>
    <col min="13" max="13" width="12" customWidth="1"/>
    <col min="14" max="14" width="13" customWidth="1"/>
    <col min="15" max="15" width="28" customWidth="1"/>
  </cols>
  <sheetData>
    <row r="1" spans="1:15" ht="31.5" customHeight="1">
      <c r="A1" s="8" t="s">
        <v>62</v>
      </c>
      <c r="B1" s="8" t="s">
        <v>139</v>
      </c>
      <c r="C1" s="8" t="s">
        <v>38</v>
      </c>
      <c r="D1" s="8" t="s">
        <v>140</v>
      </c>
      <c r="E1" s="8" t="s">
        <v>64</v>
      </c>
      <c r="F1" s="8" t="s">
        <v>141</v>
      </c>
      <c r="G1" s="8" t="s">
        <v>142</v>
      </c>
      <c r="H1" s="8" t="s">
        <v>143</v>
      </c>
      <c r="I1" s="8" t="s">
        <v>144</v>
      </c>
      <c r="J1" s="8" t="s">
        <v>145</v>
      </c>
      <c r="K1" s="8" t="s">
        <v>146</v>
      </c>
      <c r="L1" s="8" t="s">
        <v>147</v>
      </c>
      <c r="M1" s="8" t="s">
        <v>148</v>
      </c>
      <c r="N1" s="8" t="s">
        <v>149</v>
      </c>
      <c r="O1" s="8" t="s">
        <v>65</v>
      </c>
    </row>
    <row r="2" spans="1:15" ht="91.5" customHeight="1">
      <c r="A2" s="5" t="s">
        <v>150</v>
      </c>
      <c r="B2" s="5" t="s">
        <v>151</v>
      </c>
      <c r="C2" s="5" t="s">
        <v>152</v>
      </c>
      <c r="D2" s="5" t="s">
        <v>153</v>
      </c>
      <c r="E2" s="5" t="s">
        <v>68</v>
      </c>
      <c r="F2" s="5" t="s">
        <v>154</v>
      </c>
      <c r="G2" s="5" t="s">
        <v>155</v>
      </c>
      <c r="H2" s="5" t="s">
        <v>156</v>
      </c>
      <c r="I2" s="5" t="s">
        <v>157</v>
      </c>
      <c r="J2" s="5" t="s">
        <v>157</v>
      </c>
      <c r="K2" s="5" t="s">
        <v>158</v>
      </c>
      <c r="L2" s="5"/>
      <c r="M2" s="5" t="s">
        <v>159</v>
      </c>
      <c r="N2" s="20">
        <v>46311</v>
      </c>
      <c r="O2" s="5"/>
    </row>
    <row r="3" spans="1:15" ht="106.5" customHeight="1">
      <c r="A3" s="5" t="s">
        <v>160</v>
      </c>
      <c r="B3" s="5" t="s">
        <v>161</v>
      </c>
      <c r="C3" s="5" t="s">
        <v>162</v>
      </c>
      <c r="D3" s="5" t="s">
        <v>153</v>
      </c>
      <c r="E3" s="5" t="s">
        <v>68</v>
      </c>
      <c r="F3" s="5" t="s">
        <v>154</v>
      </c>
      <c r="G3" s="5" t="s">
        <v>163</v>
      </c>
      <c r="H3" s="5" t="s">
        <v>156</v>
      </c>
      <c r="I3" s="5" t="s">
        <v>164</v>
      </c>
      <c r="J3" s="5" t="s">
        <v>165</v>
      </c>
      <c r="K3" s="5" t="s">
        <v>158</v>
      </c>
      <c r="L3" s="5"/>
      <c r="M3" s="5" t="s">
        <v>159</v>
      </c>
      <c r="N3" s="20">
        <v>46311</v>
      </c>
      <c r="O3" s="5"/>
    </row>
    <row r="4" spans="1:15" ht="91.5" customHeight="1">
      <c r="A4" s="5" t="s">
        <v>166</v>
      </c>
      <c r="B4" s="5" t="s">
        <v>167</v>
      </c>
      <c r="C4" s="5" t="s">
        <v>168</v>
      </c>
      <c r="D4" s="5" t="s">
        <v>169</v>
      </c>
      <c r="E4" s="5" t="s">
        <v>68</v>
      </c>
      <c r="F4" s="5" t="s">
        <v>154</v>
      </c>
      <c r="G4" s="5" t="s">
        <v>170</v>
      </c>
      <c r="H4" s="5" t="s">
        <v>156</v>
      </c>
      <c r="I4" s="5" t="s">
        <v>171</v>
      </c>
      <c r="J4" s="5" t="s">
        <v>171</v>
      </c>
      <c r="K4" s="5" t="s">
        <v>158</v>
      </c>
      <c r="L4" s="5"/>
      <c r="M4" s="5" t="s">
        <v>159</v>
      </c>
      <c r="N4" s="20">
        <v>46311</v>
      </c>
      <c r="O4" s="5"/>
    </row>
    <row r="5" spans="1:15" ht="91.5" customHeight="1">
      <c r="A5" s="5" t="s">
        <v>172</v>
      </c>
      <c r="B5" s="5" t="s">
        <v>173</v>
      </c>
      <c r="C5" s="5" t="s">
        <v>174</v>
      </c>
      <c r="D5" s="5" t="s">
        <v>169</v>
      </c>
      <c r="E5" s="5" t="s">
        <v>68</v>
      </c>
      <c r="F5" s="5" t="s">
        <v>154</v>
      </c>
      <c r="G5" s="5" t="s">
        <v>175</v>
      </c>
      <c r="H5" s="5" t="s">
        <v>156</v>
      </c>
      <c r="I5" s="5" t="s">
        <v>176</v>
      </c>
      <c r="J5" s="5" t="s">
        <v>177</v>
      </c>
      <c r="K5" s="5" t="s">
        <v>178</v>
      </c>
      <c r="L5" s="5" t="s">
        <v>179</v>
      </c>
      <c r="M5" s="5" t="s">
        <v>159</v>
      </c>
      <c r="N5" s="20">
        <v>46311</v>
      </c>
      <c r="O5" s="5" t="s">
        <v>180</v>
      </c>
    </row>
    <row r="6" spans="1:15" ht="91.5" customHeight="1">
      <c r="A6" s="5" t="s">
        <v>181</v>
      </c>
      <c r="B6" s="5" t="s">
        <v>182</v>
      </c>
      <c r="C6" s="5" t="s">
        <v>183</v>
      </c>
      <c r="D6" s="5" t="s">
        <v>153</v>
      </c>
      <c r="E6" s="5" t="s">
        <v>88</v>
      </c>
      <c r="F6" s="5" t="s">
        <v>154</v>
      </c>
      <c r="G6" s="5" t="s">
        <v>184</v>
      </c>
      <c r="H6" s="5" t="s">
        <v>156</v>
      </c>
      <c r="I6" s="5" t="s">
        <v>164</v>
      </c>
      <c r="J6" s="5" t="s">
        <v>185</v>
      </c>
      <c r="K6" s="5" t="s">
        <v>158</v>
      </c>
      <c r="L6" s="5"/>
      <c r="M6" s="5" t="s">
        <v>159</v>
      </c>
      <c r="N6" s="20">
        <v>46311</v>
      </c>
      <c r="O6" s="5"/>
    </row>
    <row r="7" spans="1:15" ht="76.5" customHeight="1">
      <c r="A7" s="5" t="s">
        <v>186</v>
      </c>
      <c r="B7" s="5" t="s">
        <v>187</v>
      </c>
      <c r="C7" s="5" t="s">
        <v>97</v>
      </c>
      <c r="D7" s="5" t="s">
        <v>169</v>
      </c>
      <c r="E7" s="5" t="s">
        <v>88</v>
      </c>
      <c r="F7" s="5" t="s">
        <v>154</v>
      </c>
      <c r="G7" s="5" t="s">
        <v>188</v>
      </c>
      <c r="H7" s="5" t="s">
        <v>189</v>
      </c>
      <c r="I7" s="5" t="s">
        <v>190</v>
      </c>
      <c r="J7" s="5" t="s">
        <v>191</v>
      </c>
      <c r="K7" s="5" t="s">
        <v>158</v>
      </c>
      <c r="L7" s="5"/>
      <c r="M7" s="5" t="s">
        <v>159</v>
      </c>
      <c r="N7" s="20">
        <v>46311</v>
      </c>
      <c r="O7" s="5"/>
    </row>
    <row r="8" spans="1:15" ht="91.5" customHeight="1">
      <c r="A8" s="5" t="s">
        <v>192</v>
      </c>
      <c r="B8" s="5" t="s">
        <v>193</v>
      </c>
      <c r="C8" s="5" t="s">
        <v>194</v>
      </c>
      <c r="D8" s="5" t="s">
        <v>153</v>
      </c>
      <c r="E8" s="5" t="s">
        <v>88</v>
      </c>
      <c r="F8" s="5" t="s">
        <v>154</v>
      </c>
      <c r="G8" s="5" t="s">
        <v>195</v>
      </c>
      <c r="H8" s="5" t="s">
        <v>196</v>
      </c>
      <c r="I8" s="5" t="s">
        <v>197</v>
      </c>
      <c r="J8" s="5" t="s">
        <v>198</v>
      </c>
      <c r="K8" s="5" t="s">
        <v>158</v>
      </c>
      <c r="L8" s="5"/>
      <c r="M8" s="5" t="s">
        <v>159</v>
      </c>
      <c r="N8" s="20">
        <v>46311</v>
      </c>
      <c r="O8" s="5"/>
    </row>
    <row r="9" spans="1:15" ht="91.5" customHeight="1">
      <c r="A9" s="5" t="s">
        <v>199</v>
      </c>
      <c r="B9" s="5" t="s">
        <v>200</v>
      </c>
      <c r="C9" s="5" t="s">
        <v>194</v>
      </c>
      <c r="D9" s="5" t="s">
        <v>153</v>
      </c>
      <c r="E9" s="5" t="s">
        <v>88</v>
      </c>
      <c r="F9" s="5" t="s">
        <v>154</v>
      </c>
      <c r="G9" s="5" t="s">
        <v>201</v>
      </c>
      <c r="H9" s="5" t="s">
        <v>196</v>
      </c>
      <c r="I9" s="5" t="s">
        <v>202</v>
      </c>
      <c r="J9" s="5" t="s">
        <v>203</v>
      </c>
      <c r="K9" s="5" t="s">
        <v>158</v>
      </c>
      <c r="L9" s="5"/>
      <c r="M9" s="5" t="s">
        <v>159</v>
      </c>
      <c r="N9" s="20">
        <v>46311</v>
      </c>
      <c r="O9" s="5"/>
    </row>
    <row r="10" spans="1:15" ht="91.5" customHeight="1">
      <c r="A10" s="5" t="s">
        <v>204</v>
      </c>
      <c r="B10" s="5" t="s">
        <v>205</v>
      </c>
      <c r="C10" s="5" t="s">
        <v>194</v>
      </c>
      <c r="D10" s="5" t="s">
        <v>153</v>
      </c>
      <c r="E10" s="5" t="s">
        <v>88</v>
      </c>
      <c r="F10" s="5" t="s">
        <v>154</v>
      </c>
      <c r="G10" s="5" t="s">
        <v>206</v>
      </c>
      <c r="H10" s="5" t="s">
        <v>196</v>
      </c>
      <c r="I10" s="5" t="s">
        <v>197</v>
      </c>
      <c r="J10" s="5" t="s">
        <v>203</v>
      </c>
      <c r="K10" s="5" t="s">
        <v>178</v>
      </c>
      <c r="L10" s="5" t="s">
        <v>207</v>
      </c>
      <c r="M10" s="5" t="s">
        <v>159</v>
      </c>
      <c r="N10" s="20">
        <v>46311</v>
      </c>
      <c r="O10" s="5" t="s">
        <v>208</v>
      </c>
    </row>
    <row r="11" spans="1:15" ht="91.5" customHeight="1">
      <c r="A11" s="5" t="s">
        <v>209</v>
      </c>
      <c r="B11" s="5" t="s">
        <v>210</v>
      </c>
      <c r="C11" s="5" t="s">
        <v>211</v>
      </c>
      <c r="D11" s="5" t="s">
        <v>212</v>
      </c>
      <c r="E11" s="5" t="s">
        <v>88</v>
      </c>
      <c r="F11" s="5" t="s">
        <v>154</v>
      </c>
      <c r="G11" s="5" t="s">
        <v>213</v>
      </c>
      <c r="H11" s="5" t="s">
        <v>196</v>
      </c>
      <c r="I11" s="5" t="s">
        <v>214</v>
      </c>
      <c r="J11" s="5" t="s">
        <v>215</v>
      </c>
      <c r="K11" s="5" t="s">
        <v>178</v>
      </c>
      <c r="L11" s="5" t="s">
        <v>216</v>
      </c>
      <c r="M11" s="5" t="s">
        <v>159</v>
      </c>
      <c r="N11" s="20">
        <v>46311</v>
      </c>
      <c r="O11" s="5" t="s">
        <v>217</v>
      </c>
    </row>
    <row r="12" spans="1:15" ht="91.5" customHeight="1">
      <c r="A12" s="5" t="s">
        <v>218</v>
      </c>
      <c r="B12" s="5" t="s">
        <v>219</v>
      </c>
      <c r="C12" s="5" t="s">
        <v>211</v>
      </c>
      <c r="D12" s="5" t="s">
        <v>212</v>
      </c>
      <c r="E12" s="5" t="s">
        <v>88</v>
      </c>
      <c r="F12" s="5" t="s">
        <v>154</v>
      </c>
      <c r="G12" s="5" t="s">
        <v>220</v>
      </c>
      <c r="H12" s="5" t="s">
        <v>196</v>
      </c>
      <c r="I12" s="5" t="s">
        <v>221</v>
      </c>
      <c r="J12" s="5" t="s">
        <v>222</v>
      </c>
      <c r="K12" s="5" t="s">
        <v>158</v>
      </c>
      <c r="L12" s="5"/>
      <c r="M12" s="5" t="s">
        <v>159</v>
      </c>
      <c r="N12" s="20">
        <v>46311</v>
      </c>
      <c r="O12" s="5"/>
    </row>
    <row r="13" spans="1:15" ht="91.5" customHeight="1">
      <c r="A13" s="5" t="s">
        <v>223</v>
      </c>
      <c r="B13" s="5" t="s">
        <v>224</v>
      </c>
      <c r="C13" s="5" t="s">
        <v>211</v>
      </c>
      <c r="D13" s="5" t="s">
        <v>212</v>
      </c>
      <c r="E13" s="5" t="s">
        <v>88</v>
      </c>
      <c r="F13" s="5" t="s">
        <v>154</v>
      </c>
      <c r="G13" s="5" t="s">
        <v>225</v>
      </c>
      <c r="H13" s="5" t="s">
        <v>196</v>
      </c>
      <c r="I13" s="5" t="s">
        <v>226</v>
      </c>
      <c r="J13" s="5" t="s">
        <v>227</v>
      </c>
      <c r="K13" s="5" t="s">
        <v>158</v>
      </c>
      <c r="L13" s="5"/>
      <c r="M13" s="5" t="s">
        <v>159</v>
      </c>
      <c r="N13" s="20">
        <v>46311</v>
      </c>
      <c r="O13" s="5"/>
    </row>
    <row r="14" spans="1:15" ht="91.5" customHeight="1">
      <c r="A14" s="5" t="s">
        <v>228</v>
      </c>
      <c r="B14" s="5" t="s">
        <v>229</v>
      </c>
      <c r="C14" s="5" t="s">
        <v>230</v>
      </c>
      <c r="D14" s="5" t="s">
        <v>169</v>
      </c>
      <c r="E14" s="5" t="s">
        <v>68</v>
      </c>
      <c r="F14" s="5" t="s">
        <v>154</v>
      </c>
      <c r="G14" s="5" t="s">
        <v>231</v>
      </c>
      <c r="H14" s="5" t="s">
        <v>156</v>
      </c>
      <c r="I14" s="5" t="s">
        <v>232</v>
      </c>
      <c r="J14" s="5" t="s">
        <v>233</v>
      </c>
      <c r="K14" s="5" t="s">
        <v>158</v>
      </c>
      <c r="L14" s="5"/>
      <c r="M14" s="5" t="s">
        <v>159</v>
      </c>
      <c r="N14" s="20">
        <v>46311</v>
      </c>
      <c r="O14" s="5"/>
    </row>
    <row r="15" spans="1:15" ht="91.5" customHeight="1">
      <c r="A15" s="5" t="s">
        <v>234</v>
      </c>
      <c r="B15" s="5" t="s">
        <v>235</v>
      </c>
      <c r="C15" s="5" t="s">
        <v>119</v>
      </c>
      <c r="D15" s="5" t="s">
        <v>169</v>
      </c>
      <c r="E15" s="5" t="s">
        <v>68</v>
      </c>
      <c r="F15" s="5" t="s">
        <v>154</v>
      </c>
      <c r="G15" s="5" t="s">
        <v>236</v>
      </c>
      <c r="H15" s="5" t="s">
        <v>196</v>
      </c>
      <c r="I15" s="5" t="s">
        <v>221</v>
      </c>
      <c r="J15" s="5" t="s">
        <v>237</v>
      </c>
      <c r="K15" s="5" t="s">
        <v>178</v>
      </c>
      <c r="L15" s="5" t="s">
        <v>238</v>
      </c>
      <c r="M15" s="5" t="s">
        <v>159</v>
      </c>
      <c r="N15" s="20">
        <v>46311</v>
      </c>
      <c r="O15" s="5" t="s">
        <v>239</v>
      </c>
    </row>
    <row r="16" spans="1:15" ht="91.5" customHeight="1">
      <c r="A16" s="5" t="s">
        <v>240</v>
      </c>
      <c r="B16" s="5" t="s">
        <v>241</v>
      </c>
      <c r="C16" s="5" t="s">
        <v>133</v>
      </c>
      <c r="D16" s="5" t="s">
        <v>242</v>
      </c>
      <c r="E16" s="5" t="s">
        <v>68</v>
      </c>
      <c r="F16" s="5" t="s">
        <v>154</v>
      </c>
      <c r="G16" s="5" t="s">
        <v>243</v>
      </c>
      <c r="H16" s="5" t="s">
        <v>196</v>
      </c>
      <c r="I16" s="5" t="s">
        <v>244</v>
      </c>
      <c r="J16" s="5" t="s">
        <v>245</v>
      </c>
      <c r="K16" s="5" t="s">
        <v>158</v>
      </c>
      <c r="L16" s="5"/>
      <c r="M16" s="5" t="s">
        <v>159</v>
      </c>
      <c r="N16" s="20">
        <v>46311</v>
      </c>
      <c r="O16" s="5"/>
    </row>
  </sheetData>
  <autoFilter ref="A1:O1" xr:uid="{00000000-0009-0000-0000-000003000000}"/>
  <dataValidations count="3">
    <dataValidation type="list" showInputMessage="1" showErrorMessage="1" errorTitle="Technika" error="Wybierz wartość z listy rozwijanej." promptTitle="Technika" prompt="Wybierz z listy" sqref="D2:D300" xr:uid="{00000000-0002-0000-0300-000000000000}">
      <formula1>"EP,AWB,Tablica decyzyjna,Przejścia stanów,Przypadki użycia,Doświadczenie,Lista kontrolna,Na podstawie wymagania"</formula1>
      <formula2>0</formula2>
    </dataValidation>
    <dataValidation type="list" showInputMessage="1" showErrorMessage="1" errorTitle="Priorytet" error="Wybierz wartość z listy rozwijanej." promptTitle="Priorytet" prompt="Wybierz z listy" sqref="E2:E300" xr:uid="{00000000-0002-0000-0300-000001000000}">
      <formula1>"Wysoki,Średni,Niski"</formula1>
      <formula2>0</formula2>
    </dataValidation>
    <dataValidation type="list" showInputMessage="1" showErrorMessage="1" errorTitle="Status" error="Wybierz wartość z listy rozwijanej." promptTitle="Status" prompt="Wybierz z listy" sqref="K2:K300" xr:uid="{00000000-0002-0000-0300-000002000000}">
      <formula1>"Nie wykonano,Zaliczony,Niezaliczony,Zablokowany,Pominięty"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120"/>
  <sheetViews>
    <sheetView zoomScaleNormal="100" workbookViewId="0">
      <pane xSplit="1" ySplit="1" topLeftCell="B2" activePane="bottomRight" state="frozen"/>
      <selection pane="bottomRight" activeCell="I8" sqref="I8"/>
      <selection pane="bottomLeft" activeCell="A2" sqref="A2"/>
      <selection pane="topRight" activeCell="B1" sqref="B1"/>
    </sheetView>
  </sheetViews>
  <sheetFormatPr defaultColWidth="8.7109375" defaultRowHeight="15"/>
  <cols>
    <col min="1" max="1" width="14" style="15" customWidth="1"/>
    <col min="2" max="2" width="50" style="15" customWidth="1"/>
    <col min="3" max="3" width="10" style="15" customWidth="1"/>
    <col min="4" max="4" width="39.28515625" style="15" customWidth="1"/>
    <col min="5" max="5" width="11" style="15" customWidth="1"/>
    <col min="6" max="6" width="10" style="15" customWidth="1"/>
    <col min="7" max="7" width="11" style="15" customWidth="1"/>
    <col min="8" max="8" width="12" style="15" customWidth="1"/>
    <col min="9" max="9" width="36" style="15" customWidth="1"/>
    <col min="10" max="12" width="8.7109375" style="15" customWidth="1"/>
    <col min="13" max="16384" width="8.7109375" style="15"/>
  </cols>
  <sheetData>
    <row r="1" spans="1:9" ht="31.5" customHeight="1">
      <c r="A1" s="8" t="s">
        <v>246</v>
      </c>
      <c r="B1" s="8" t="s">
        <v>247</v>
      </c>
      <c r="C1" s="8" t="s">
        <v>64</v>
      </c>
      <c r="D1" s="8" t="s">
        <v>248</v>
      </c>
      <c r="E1" s="8" t="s">
        <v>249</v>
      </c>
      <c r="F1" s="8" t="s">
        <v>250</v>
      </c>
      <c r="G1" s="8" t="s">
        <v>251</v>
      </c>
      <c r="H1" s="8" t="s">
        <v>252</v>
      </c>
      <c r="I1" s="8" t="s">
        <v>65</v>
      </c>
    </row>
    <row r="2" spans="1:9" ht="45.75" customHeight="1">
      <c r="A2" s="9" t="s">
        <v>55</v>
      </c>
      <c r="B2" s="9" t="s">
        <v>253</v>
      </c>
      <c r="C2" s="9" t="s">
        <v>93</v>
      </c>
      <c r="D2" s="9"/>
      <c r="E2" s="23">
        <f>IF(A2="","",COUNTIF('Przypadki testowe'!$C$2:$C$300,"*"&amp;A2&amp;"*"))</f>
        <v>0</v>
      </c>
      <c r="F2" s="23">
        <f>IF(A2="","",COUNTIFS('Przypadki testowe'!$C$2:$C$300,"*"&amp;A2&amp;"*",'Przypadki testowe'!$K$2:$K$300,"Zaliczony"))</f>
        <v>0</v>
      </c>
      <c r="G2" s="23">
        <f>IF(A2="","",COUNTIFS('Przypadki testowe'!$C$2:$C$300,"*"&amp;A2&amp;"*",'Przypadki testowe'!$K$2:$K$300,"Niezaliczony"))</f>
        <v>0</v>
      </c>
      <c r="H2" s="23" t="str">
        <f>IF(A2="","",IF(E2&gt;0,"Pokryte","BRAK"))</f>
        <v>BRAK</v>
      </c>
      <c r="I2" s="9"/>
    </row>
    <row r="3" spans="1:9">
      <c r="A3" s="15" t="s">
        <v>42</v>
      </c>
      <c r="B3" s="15" t="s">
        <v>254</v>
      </c>
      <c r="C3" s="15" t="s">
        <v>68</v>
      </c>
      <c r="D3" s="15" t="s">
        <v>255</v>
      </c>
      <c r="E3" s="15">
        <f>IF(A3="","",COUNTIF('Przypadki testowe'!$C$2:$C$300,"*"&amp;A3&amp;"*"))</f>
        <v>2</v>
      </c>
      <c r="F3" s="15">
        <f>IF(A3="","",COUNTIFS('Przypadki testowe'!$C$2:$C$300,"*"&amp;A3&amp;"*",'Przypadki testowe'!$K$2:$K$300,"Zaliczony"))</f>
        <v>2</v>
      </c>
      <c r="G3" s="15">
        <f>IF(A3="","",COUNTIFS('Przypadki testowe'!$C$2:$C$300,"*"&amp;A3&amp;"*",'Przypadki testowe'!$K$2:$K$300,"Niezaliczony"))</f>
        <v>0</v>
      </c>
      <c r="H3" s="15" t="str">
        <f>IF(A3="","",IF(E3&gt;0,"Pokryte","BRAK"))</f>
        <v>Pokryte</v>
      </c>
    </row>
    <row r="4" spans="1:9">
      <c r="A4" s="15" t="s">
        <v>49</v>
      </c>
      <c r="B4" s="15" t="s">
        <v>256</v>
      </c>
      <c r="C4" s="15" t="s">
        <v>68</v>
      </c>
      <c r="D4" s="15" t="s">
        <v>166</v>
      </c>
      <c r="E4" s="15">
        <f>IF(A4="","",COUNTIF('Przypadki testowe'!$C$2:$C$300,"*"&amp;A4&amp;"*"))</f>
        <v>1</v>
      </c>
      <c r="F4" s="15">
        <f>IF(A4="","",COUNTIFS('Przypadki testowe'!$C$2:$C$300,"*"&amp;A4&amp;"*",'Przypadki testowe'!$K$2:$K$300,"Zaliczony"))</f>
        <v>1</v>
      </c>
      <c r="G4" s="15">
        <f>IF(A4="","",COUNTIFS('Przypadki testowe'!$C$2:$C$300,"*"&amp;A4&amp;"*",'Przypadki testowe'!$K$2:$K$300,"Niezaliczony"))</f>
        <v>0</v>
      </c>
      <c r="H4" s="15" t="str">
        <f>IF(A4="","",IF(E4&gt;0,"Pokryte","BRAK"))</f>
        <v>Pokryte</v>
      </c>
    </row>
    <row r="5" spans="1:9">
      <c r="A5" s="15" t="s">
        <v>81</v>
      </c>
      <c r="B5" s="15" t="s">
        <v>257</v>
      </c>
      <c r="C5" s="15" t="s">
        <v>68</v>
      </c>
      <c r="D5" s="15" t="s">
        <v>172</v>
      </c>
      <c r="E5" s="15">
        <f>IF(A5="","",COUNTIF('Przypadki testowe'!$C$2:$C$300,"*"&amp;A5&amp;"*"))</f>
        <v>1</v>
      </c>
      <c r="F5" s="15">
        <f>IF(A5="","",COUNTIFS('Przypadki testowe'!$C$2:$C$300,"*"&amp;A5&amp;"*",'Przypadki testowe'!$K$2:$K$300,"Zaliczony"))</f>
        <v>0</v>
      </c>
      <c r="G5" s="15">
        <f>IF(A5="","",COUNTIFS('Przypadki testowe'!$C$2:$C$300,"*"&amp;A5&amp;"*",'Przypadki testowe'!$K$2:$K$300,"Niezaliczony"))</f>
        <v>1</v>
      </c>
      <c r="H5" s="15" t="str">
        <f>IF(A5="","",IF(E5&gt;0,"Pokryte","BRAK"))</f>
        <v>Pokryte</v>
      </c>
    </row>
    <row r="6" spans="1:9">
      <c r="A6" s="15" t="s">
        <v>52</v>
      </c>
      <c r="B6" s="15" t="s">
        <v>258</v>
      </c>
      <c r="C6" s="15" t="s">
        <v>88</v>
      </c>
      <c r="D6" s="15" t="s">
        <v>181</v>
      </c>
      <c r="E6" s="15">
        <f>IF(A6="","",COUNTIF('Przypadki testowe'!$C$2:$C$300,"*"&amp;A6&amp;"*"))</f>
        <v>1</v>
      </c>
      <c r="F6" s="15">
        <f>IF(A6="","",COUNTIFS('Przypadki testowe'!$C$2:$C$300,"*"&amp;A6&amp;"*",'Przypadki testowe'!$K$2:$K$300,"Zaliczony"))</f>
        <v>1</v>
      </c>
      <c r="G6" s="15">
        <f>IF(A6="","",COUNTIFS('Przypadki testowe'!$C$2:$C$300,"*"&amp;A6&amp;"*",'Przypadki testowe'!$K$2:$K$300,"Niezaliczony"))</f>
        <v>0</v>
      </c>
      <c r="H6" s="15" t="str">
        <f>IF(A6="","",IF(E6&gt;0,"Pokryte","BRAK"))</f>
        <v>Pokryte</v>
      </c>
    </row>
    <row r="7" spans="1:9" ht="45.75" customHeight="1">
      <c r="A7" s="15" t="s">
        <v>92</v>
      </c>
      <c r="B7" s="15" t="s">
        <v>259</v>
      </c>
      <c r="C7" s="15" t="s">
        <v>93</v>
      </c>
      <c r="E7" s="15">
        <f>IF(A7="","",COUNTIF('Przypadki testowe'!$C$2:$C$300,"*"&amp;A7&amp;"*"))</f>
        <v>0</v>
      </c>
      <c r="F7" s="15">
        <f>IF(A7="","",COUNTIFS('Przypadki testowe'!$C$2:$C$300,"*"&amp;A7&amp;"*",'Przypadki testowe'!$K$2:$K$300,"Zaliczony"))</f>
        <v>0</v>
      </c>
      <c r="G7" s="15">
        <f>IF(A7="","",COUNTIFS('Przypadki testowe'!$C$2:$C$300,"*"&amp;A7&amp;"*",'Przypadki testowe'!$K$2:$K$300,"Niezaliczony"))</f>
        <v>0</v>
      </c>
      <c r="H7" s="15" t="str">
        <f>IF(A7="","",IF(E7&gt;0,"Pokryte","BRAK"))</f>
        <v>BRAK</v>
      </c>
    </row>
    <row r="8" spans="1:9" ht="30.75" customHeight="1">
      <c r="A8" s="15" t="s">
        <v>97</v>
      </c>
      <c r="B8" s="15" t="s">
        <v>260</v>
      </c>
      <c r="C8" s="15" t="s">
        <v>88</v>
      </c>
      <c r="D8" s="15" t="s">
        <v>261</v>
      </c>
      <c r="E8" s="15">
        <f>IF(A8="","",COUNTIF('Przypadki testowe'!$C$2:$C$300,"*"&amp;A8&amp;"*"))</f>
        <v>4</v>
      </c>
      <c r="F8" s="15">
        <f>IF(A8="","",COUNTIFS('Przypadki testowe'!$C$2:$C$300,"*"&amp;A8&amp;"*",'Przypadki testowe'!$K$2:$K$300,"Zaliczony"))</f>
        <v>3</v>
      </c>
      <c r="G8" s="15">
        <f>IF(A8="","",COUNTIFS('Przypadki testowe'!$C$2:$C$300,"*"&amp;A8&amp;"*",'Przypadki testowe'!$K$2:$K$300,"Niezaliczony"))</f>
        <v>1</v>
      </c>
      <c r="H8" s="15" t="str">
        <f>IF(A8="","",IF(E8&gt;0,"Pokryte","BRAK"))</f>
        <v>Pokryte</v>
      </c>
    </row>
    <row r="9" spans="1:9">
      <c r="A9" s="15" t="s">
        <v>262</v>
      </c>
      <c r="B9" s="15" t="s">
        <v>263</v>
      </c>
      <c r="C9" s="15" t="s">
        <v>68</v>
      </c>
      <c r="D9" s="15" t="s">
        <v>264</v>
      </c>
      <c r="E9" s="15">
        <f>IF(A9="","",COUNTIF('Przypadki testowe'!$C$2:$C$300,"*"&amp;A9&amp;"*"))</f>
        <v>2</v>
      </c>
      <c r="F9" s="15">
        <f>IF(A9="","",COUNTIFS('Przypadki testowe'!$C$2:$C$300,"*"&amp;A9&amp;"*",'Przypadki testowe'!$K$2:$K$300,"Zaliczony"))</f>
        <v>2</v>
      </c>
      <c r="G9" s="15">
        <f>IF(A9="","",COUNTIFS('Przypadki testowe'!$C$2:$C$300,"*"&amp;A9&amp;"*",'Przypadki testowe'!$K$2:$K$300,"Niezaliczony"))</f>
        <v>0</v>
      </c>
      <c r="H9" s="15" t="str">
        <f>IF(A9="","",IF(E9&gt;0,"Pokryte","BRAK"))</f>
        <v>Pokryte</v>
      </c>
    </row>
    <row r="10" spans="1:9" ht="30.75" customHeight="1">
      <c r="A10" s="15" t="s">
        <v>105</v>
      </c>
      <c r="B10" s="15" t="s">
        <v>265</v>
      </c>
      <c r="C10" s="15" t="s">
        <v>88</v>
      </c>
      <c r="E10" s="15">
        <f>IF(A10="","",COUNTIF('Przypadki testowe'!$C$2:$C$300,"*"&amp;A10&amp;"*"))</f>
        <v>0</v>
      </c>
      <c r="F10" s="15">
        <f>IF(A10="","",COUNTIFS('Przypadki testowe'!$C$2:$C$300,"*"&amp;A10&amp;"*",'Przypadki testowe'!$K$2:$K$300,"Zaliczony"))</f>
        <v>0</v>
      </c>
      <c r="G10" s="15">
        <f>IF(A10="","",COUNTIFS('Przypadki testowe'!$C$2:$C$300,"*"&amp;A10&amp;"*",'Przypadki testowe'!$K$2:$K$300,"Niezaliczony"))</f>
        <v>0</v>
      </c>
      <c r="H10" s="15" t="str">
        <f>IF(A10="","",IF(E10&gt;0,"Pokryte","BRAK"))</f>
        <v>BRAK</v>
      </c>
    </row>
    <row r="11" spans="1:9">
      <c r="A11" s="15" t="s">
        <v>58</v>
      </c>
      <c r="B11" s="15" t="s">
        <v>266</v>
      </c>
      <c r="C11" s="15" t="s">
        <v>88</v>
      </c>
      <c r="D11" s="15" t="s">
        <v>267</v>
      </c>
      <c r="E11" s="15">
        <f>IF(A11="","",COUNTIF('Przypadki testowe'!$C$2:$C$300,"*"&amp;A11&amp;"*"))</f>
        <v>3</v>
      </c>
      <c r="F11" s="15">
        <f>IF(A11="","",COUNTIFS('Przypadki testowe'!$C$2:$C$300,"*"&amp;A11&amp;"*",'Przypadki testowe'!$K$2:$K$300,"Zaliczony"))</f>
        <v>2</v>
      </c>
      <c r="G11" s="15">
        <f>IF(A11="","",COUNTIFS('Przypadki testowe'!$C$2:$C$300,"*"&amp;A11&amp;"*",'Przypadki testowe'!$K$2:$K$300,"Niezaliczony"))</f>
        <v>1</v>
      </c>
      <c r="H11" s="15" t="str">
        <f>IF(A11="","",IF(E11&gt;0,"Pokryte","BRAK"))</f>
        <v>Pokryte</v>
      </c>
    </row>
    <row r="12" spans="1:9">
      <c r="A12" s="15" t="s">
        <v>112</v>
      </c>
      <c r="B12" s="15" t="s">
        <v>268</v>
      </c>
      <c r="C12" s="15" t="s">
        <v>88</v>
      </c>
      <c r="D12" s="15" t="s">
        <v>269</v>
      </c>
      <c r="E12" s="15">
        <f>IF(A12="","",COUNTIF('Przypadki testowe'!$C$2:$C$300,"*"&amp;A12&amp;"*"))</f>
        <v>3</v>
      </c>
      <c r="F12" s="15">
        <f>IF(A12="","",COUNTIFS('Przypadki testowe'!$C$2:$C$300,"*"&amp;A12&amp;"*",'Przypadki testowe'!$K$2:$K$300,"Zaliczony"))</f>
        <v>2</v>
      </c>
      <c r="G12" s="15">
        <f>IF(A12="","",COUNTIFS('Przypadki testowe'!$C$2:$C$300,"*"&amp;A12&amp;"*",'Przypadki testowe'!$K$2:$K$300,"Niezaliczony"))</f>
        <v>1</v>
      </c>
      <c r="H12" s="15" t="str">
        <f>IF(A12="","",IF(E12&gt;0,"Pokryte","BRAK"))</f>
        <v>Pokryte</v>
      </c>
    </row>
    <row r="13" spans="1:9">
      <c r="A13" s="15" t="s">
        <v>119</v>
      </c>
      <c r="B13" s="15" t="s">
        <v>270</v>
      </c>
      <c r="C13" s="15" t="s">
        <v>68</v>
      </c>
      <c r="D13" s="15" t="s">
        <v>271</v>
      </c>
      <c r="E13" s="15">
        <f>IF(A13="","",COUNTIF('Przypadki testowe'!$C$2:$C$300,"*"&amp;A13&amp;"*"))</f>
        <v>2</v>
      </c>
      <c r="F13" s="15">
        <f>IF(A13="","",COUNTIFS('Przypadki testowe'!$C$2:$C$300,"*"&amp;A13&amp;"*",'Przypadki testowe'!$K$2:$K$300,"Zaliczony"))</f>
        <v>1</v>
      </c>
      <c r="G13" s="15">
        <f>IF(A13="","",COUNTIFS('Przypadki testowe'!$C$2:$C$300,"*"&amp;A13&amp;"*",'Przypadki testowe'!$K$2:$K$300,"Niezaliczony"))</f>
        <v>1</v>
      </c>
      <c r="H13" s="15" t="str">
        <f>IF(A13="","",IF(E13&gt;0,"Pokryte","BRAK"))</f>
        <v>Pokryte</v>
      </c>
    </row>
    <row r="14" spans="1:9" ht="30.75" customHeight="1">
      <c r="A14" s="15" t="s">
        <v>126</v>
      </c>
      <c r="B14" s="15" t="s">
        <v>272</v>
      </c>
      <c r="C14" s="15" t="s">
        <v>88</v>
      </c>
      <c r="D14" s="15" t="s">
        <v>273</v>
      </c>
      <c r="E14" s="15">
        <f>IF(A14="","",COUNTIF('Przypadki testowe'!$C$2:$C$300,"*"&amp;A14&amp;"*"))</f>
        <v>4</v>
      </c>
      <c r="F14" s="15">
        <f>IF(A14="","",COUNTIFS('Przypadki testowe'!$C$2:$C$300,"*"&amp;A14&amp;"*",'Przypadki testowe'!$K$2:$K$300,"Zaliczony"))</f>
        <v>3</v>
      </c>
      <c r="G14" s="15">
        <f>IF(A14="","",COUNTIFS('Przypadki testowe'!$C$2:$C$300,"*"&amp;A14&amp;"*",'Przypadki testowe'!$K$2:$K$300,"Niezaliczony"))</f>
        <v>1</v>
      </c>
      <c r="H14" s="15" t="str">
        <f>IF(A14="","",IF(E14&gt;0,"Pokryte","BRAK"))</f>
        <v>Pokryte</v>
      </c>
    </row>
    <row r="15" spans="1:9" ht="30.75" customHeight="1">
      <c r="A15" s="15" t="s">
        <v>133</v>
      </c>
      <c r="B15" s="15" t="s">
        <v>274</v>
      </c>
      <c r="C15" s="15" t="s">
        <v>88</v>
      </c>
      <c r="D15" s="15" t="s">
        <v>275</v>
      </c>
      <c r="E15" s="15">
        <f>IF(A15="","",COUNTIF('Przypadki testowe'!$C$2:$C$300,"*"&amp;A15&amp;"*"))</f>
        <v>4</v>
      </c>
      <c r="F15" s="15">
        <f>IF(A15="","",COUNTIFS('Przypadki testowe'!$C$2:$C$300,"*"&amp;A15&amp;"*",'Przypadki testowe'!$K$2:$K$300,"Zaliczony"))</f>
        <v>3</v>
      </c>
      <c r="G15" s="15">
        <f>IF(A15="","",COUNTIFS('Przypadki testowe'!$C$2:$C$300,"*"&amp;A15&amp;"*",'Przypadki testowe'!$K$2:$K$300,"Niezaliczony"))</f>
        <v>1</v>
      </c>
      <c r="H15" s="15" t="str">
        <f>IF(A15="","",IF(E15&gt;0,"Pokryte","BRAK"))</f>
        <v>Pokryte</v>
      </c>
    </row>
    <row r="16" spans="1:9" ht="45.75" customHeight="1">
      <c r="A16" s="15" t="s">
        <v>137</v>
      </c>
      <c r="B16" s="15" t="s">
        <v>276</v>
      </c>
      <c r="C16" s="15" t="s">
        <v>68</v>
      </c>
      <c r="E16" s="15">
        <f>IF(A16="","",COUNTIF('Przypadki testowe'!$C$2:$C$300,"*"&amp;A16&amp;"*"))</f>
        <v>0</v>
      </c>
      <c r="F16" s="15">
        <f>IF(A16="","",COUNTIFS('Przypadki testowe'!$C$2:$C$300,"*"&amp;A16&amp;"*",'Przypadki testowe'!$K$2:$K$300,"Zaliczony"))</f>
        <v>0</v>
      </c>
      <c r="G16" s="15">
        <f>IF(A16="","",COUNTIFS('Przypadki testowe'!$C$2:$C$300,"*"&amp;A16&amp;"*",'Przypadki testowe'!$K$2:$K$300,"Niezaliczony"))</f>
        <v>0</v>
      </c>
      <c r="H16" s="15" t="str">
        <f>IF(A16="","",IF(E16&gt;0,"Pokryte","BRAK"))</f>
        <v>BRAK</v>
      </c>
    </row>
    <row r="17" spans="5:8">
      <c r="E17" s="15" t="str">
        <f>IF(A17="","",COUNTIF('Przypadki testowe'!$C$2:$C$300,"*"&amp;A17&amp;"*"))</f>
        <v/>
      </c>
      <c r="F17" s="15" t="str">
        <f>IF(A17="","",COUNTIFS('Przypadki testowe'!$C$2:$C$300,"*"&amp;A17&amp;"*",'Przypadki testowe'!$K$2:$K$300,"Zaliczony"))</f>
        <v/>
      </c>
      <c r="G17" s="15" t="str">
        <f>IF(A17="","",COUNTIFS('Przypadki testowe'!$C$2:$C$300,"*"&amp;A17&amp;"*",'Przypadki testowe'!$K$2:$K$300,"Niezaliczony"))</f>
        <v/>
      </c>
      <c r="H17" s="15" t="str">
        <f>IF(A17="","",IF(E17&gt;0,"Pokryte","BRAK"))</f>
        <v/>
      </c>
    </row>
    <row r="18" spans="5:8">
      <c r="E18" s="15" t="str">
        <f>IF(A18="","",COUNTIF('Przypadki testowe'!$C$2:$C$300,"*"&amp;A18&amp;"*"))</f>
        <v/>
      </c>
      <c r="F18" s="15" t="str">
        <f>IF(A18="","",COUNTIFS('Przypadki testowe'!$C$2:$C$300,"*"&amp;A18&amp;"*",'Przypadki testowe'!$K$2:$K$300,"Zaliczony"))</f>
        <v/>
      </c>
      <c r="G18" s="15" t="str">
        <f>IF(A18="","",COUNTIFS('Przypadki testowe'!$C$2:$C$300,"*"&amp;A18&amp;"*",'Przypadki testowe'!$K$2:$K$300,"Niezaliczony"))</f>
        <v/>
      </c>
      <c r="H18" s="15" t="str">
        <f>IF(A18="","",IF(E18&gt;0,"Pokryte","BRAK"))</f>
        <v/>
      </c>
    </row>
    <row r="19" spans="5:8">
      <c r="E19" s="15" t="str">
        <f>IF(A19="","",COUNTIF('Przypadki testowe'!$C$2:$C$300,"*"&amp;A19&amp;"*"))</f>
        <v/>
      </c>
      <c r="F19" s="15" t="str">
        <f>IF(A19="","",COUNTIFS('Przypadki testowe'!$C$2:$C$300,"*"&amp;A19&amp;"*",'Przypadki testowe'!$K$2:$K$300,"Zaliczony"))</f>
        <v/>
      </c>
      <c r="G19" s="15" t="str">
        <f>IF(A19="","",COUNTIFS('Przypadki testowe'!$C$2:$C$300,"*"&amp;A19&amp;"*",'Przypadki testowe'!$K$2:$K$300,"Niezaliczony"))</f>
        <v/>
      </c>
      <c r="H19" s="15" t="str">
        <f>IF(A19="","",IF(E19&gt;0,"Pokryte","BRAK"))</f>
        <v/>
      </c>
    </row>
    <row r="20" spans="5:8">
      <c r="E20" s="15" t="str">
        <f>IF(A20="","",COUNTIF('Przypadki testowe'!$C$2:$C$300,"*"&amp;A20&amp;"*"))</f>
        <v/>
      </c>
      <c r="F20" s="15" t="str">
        <f>IF(A20="","",COUNTIFS('Przypadki testowe'!$C$2:$C$300,"*"&amp;A20&amp;"*",'Przypadki testowe'!$K$2:$K$300,"Zaliczony"))</f>
        <v/>
      </c>
      <c r="G20" s="15" t="str">
        <f>IF(A20="","",COUNTIFS('Przypadki testowe'!$C$2:$C$300,"*"&amp;A20&amp;"*",'Przypadki testowe'!$K$2:$K$300,"Niezaliczony"))</f>
        <v/>
      </c>
      <c r="H20" s="15" t="str">
        <f>IF(A20="","",IF(E20&gt;0,"Pokryte","BRAK"))</f>
        <v/>
      </c>
    </row>
    <row r="21" spans="5:8">
      <c r="E21" s="15" t="str">
        <f>IF(A21="","",COUNTIF('Przypadki testowe'!$C$2:$C$300,"*"&amp;A21&amp;"*"))</f>
        <v/>
      </c>
      <c r="F21" s="15" t="str">
        <f>IF(A21="","",COUNTIFS('Przypadki testowe'!$C$2:$C$300,"*"&amp;A21&amp;"*",'Przypadki testowe'!$K$2:$K$300,"Zaliczony"))</f>
        <v/>
      </c>
      <c r="G21" s="15" t="str">
        <f>IF(A21="","",COUNTIFS('Przypadki testowe'!$C$2:$C$300,"*"&amp;A21&amp;"*",'Przypadki testowe'!$K$2:$K$300,"Niezaliczony"))</f>
        <v/>
      </c>
      <c r="H21" s="15" t="str">
        <f>IF(A21="","",IF(E21&gt;0,"Pokryte","BRAK"))</f>
        <v/>
      </c>
    </row>
    <row r="22" spans="5:8">
      <c r="E22" s="15" t="str">
        <f>IF(A22="","",COUNTIF('Przypadki testowe'!$C$2:$C$300,"*"&amp;A22&amp;"*"))</f>
        <v/>
      </c>
      <c r="F22" s="15" t="str">
        <f>IF(A22="","",COUNTIFS('Przypadki testowe'!$C$2:$C$300,"*"&amp;A22&amp;"*",'Przypadki testowe'!$K$2:$K$300,"Zaliczony"))</f>
        <v/>
      </c>
      <c r="G22" s="15" t="str">
        <f>IF(A22="","",COUNTIFS('Przypadki testowe'!$C$2:$C$300,"*"&amp;A22&amp;"*",'Przypadki testowe'!$K$2:$K$300,"Niezaliczony"))</f>
        <v/>
      </c>
      <c r="H22" s="15" t="str">
        <f>IF(A22="","",IF(E22&gt;0,"Pokryte","BRAK"))</f>
        <v/>
      </c>
    </row>
    <row r="23" spans="5:8">
      <c r="E23" s="15" t="str">
        <f>IF(A23="","",COUNTIF('Przypadki testowe'!$C$2:$C$300,"*"&amp;A23&amp;"*"))</f>
        <v/>
      </c>
      <c r="F23" s="15" t="str">
        <f>IF(A23="","",COUNTIFS('Przypadki testowe'!$C$2:$C$300,"*"&amp;A23&amp;"*",'Przypadki testowe'!$K$2:$K$300,"Zaliczony"))</f>
        <v/>
      </c>
      <c r="G23" s="15" t="str">
        <f>IF(A23="","",COUNTIFS('Przypadki testowe'!$C$2:$C$300,"*"&amp;A23&amp;"*",'Przypadki testowe'!$K$2:$K$300,"Niezaliczony"))</f>
        <v/>
      </c>
      <c r="H23" s="15" t="str">
        <f>IF(A23="","",IF(E23&gt;0,"Pokryte","BRAK"))</f>
        <v/>
      </c>
    </row>
    <row r="24" spans="5:8">
      <c r="E24" s="15" t="str">
        <f>IF(A24="","",COUNTIF('Przypadki testowe'!$C$2:$C$300,"*"&amp;A24&amp;"*"))</f>
        <v/>
      </c>
      <c r="F24" s="15" t="str">
        <f>IF(A24="","",COUNTIFS('Przypadki testowe'!$C$2:$C$300,"*"&amp;A24&amp;"*",'Przypadki testowe'!$K$2:$K$300,"Zaliczony"))</f>
        <v/>
      </c>
      <c r="G24" s="15" t="str">
        <f>IF(A24="","",COUNTIFS('Przypadki testowe'!$C$2:$C$300,"*"&amp;A24&amp;"*",'Przypadki testowe'!$K$2:$K$300,"Niezaliczony"))</f>
        <v/>
      </c>
      <c r="H24" s="15" t="str">
        <f>IF(A24="","",IF(E24&gt;0,"Pokryte","BRAK"))</f>
        <v/>
      </c>
    </row>
    <row r="25" spans="5:8">
      <c r="E25" s="15" t="str">
        <f>IF(A25="","",COUNTIF('Przypadki testowe'!$C$2:$C$300,"*"&amp;A25&amp;"*"))</f>
        <v/>
      </c>
      <c r="F25" s="15" t="str">
        <f>IF(A25="","",COUNTIFS('Przypadki testowe'!$C$2:$C$300,"*"&amp;A25&amp;"*",'Przypadki testowe'!$K$2:$K$300,"Zaliczony"))</f>
        <v/>
      </c>
      <c r="G25" s="15" t="str">
        <f>IF(A25="","",COUNTIFS('Przypadki testowe'!$C$2:$C$300,"*"&amp;A25&amp;"*",'Przypadki testowe'!$K$2:$K$300,"Niezaliczony"))</f>
        <v/>
      </c>
      <c r="H25" s="15" t="str">
        <f>IF(A25="","",IF(E25&gt;0,"Pokryte","BRAK"))</f>
        <v/>
      </c>
    </row>
    <row r="26" spans="5:8">
      <c r="E26" s="15" t="str">
        <f>IF(A26="","",COUNTIF('Przypadki testowe'!$C$2:$C$300,"*"&amp;A26&amp;"*"))</f>
        <v/>
      </c>
      <c r="F26" s="15" t="str">
        <f>IF(A26="","",COUNTIFS('Przypadki testowe'!$C$2:$C$300,"*"&amp;A26&amp;"*",'Przypadki testowe'!$K$2:$K$300,"Zaliczony"))</f>
        <v/>
      </c>
      <c r="G26" s="15" t="str">
        <f>IF(A26="","",COUNTIFS('Przypadki testowe'!$C$2:$C$300,"*"&amp;A26&amp;"*",'Przypadki testowe'!$K$2:$K$300,"Niezaliczony"))</f>
        <v/>
      </c>
      <c r="H26" s="15" t="str">
        <f>IF(A26="","",IF(E26&gt;0,"Pokryte","BRAK"))</f>
        <v/>
      </c>
    </row>
    <row r="27" spans="5:8">
      <c r="E27" s="15" t="str">
        <f>IF(A27="","",COUNTIF('Przypadki testowe'!$C$2:$C$300,"*"&amp;A27&amp;"*"))</f>
        <v/>
      </c>
      <c r="F27" s="15" t="str">
        <f>IF(A27="","",COUNTIFS('Przypadki testowe'!$C$2:$C$300,"*"&amp;A27&amp;"*",'Przypadki testowe'!$K$2:$K$300,"Zaliczony"))</f>
        <v/>
      </c>
      <c r="G27" s="15" t="str">
        <f>IF(A27="","",COUNTIFS('Przypadki testowe'!$C$2:$C$300,"*"&amp;A27&amp;"*",'Przypadki testowe'!$K$2:$K$300,"Niezaliczony"))</f>
        <v/>
      </c>
      <c r="H27" s="15" t="str">
        <f>IF(A27="","",IF(E27&gt;0,"Pokryte","BRAK"))</f>
        <v/>
      </c>
    </row>
    <row r="28" spans="5:8">
      <c r="E28" s="15" t="str">
        <f>IF(A28="","",COUNTIF('Przypadki testowe'!$C$2:$C$300,"*"&amp;A28&amp;"*"))</f>
        <v/>
      </c>
      <c r="F28" s="15" t="str">
        <f>IF(A28="","",COUNTIFS('Przypadki testowe'!$C$2:$C$300,"*"&amp;A28&amp;"*",'Przypadki testowe'!$K$2:$K$300,"Zaliczony"))</f>
        <v/>
      </c>
      <c r="G28" s="15" t="str">
        <f>IF(A28="","",COUNTIFS('Przypadki testowe'!$C$2:$C$300,"*"&amp;A28&amp;"*",'Przypadki testowe'!$K$2:$K$300,"Niezaliczony"))</f>
        <v/>
      </c>
      <c r="H28" s="15" t="str">
        <f>IF(A28="","",IF(E28&gt;0,"Pokryte","BRAK"))</f>
        <v/>
      </c>
    </row>
    <row r="29" spans="5:8">
      <c r="E29" s="15" t="str">
        <f>IF(A29="","",COUNTIF('Przypadki testowe'!$C$2:$C$300,"*"&amp;A29&amp;"*"))</f>
        <v/>
      </c>
      <c r="F29" s="15" t="str">
        <f>IF(A29="","",COUNTIFS('Przypadki testowe'!$C$2:$C$300,"*"&amp;A29&amp;"*",'Przypadki testowe'!$K$2:$K$300,"Zaliczony"))</f>
        <v/>
      </c>
      <c r="G29" s="15" t="str">
        <f>IF(A29="","",COUNTIFS('Przypadki testowe'!$C$2:$C$300,"*"&amp;A29&amp;"*",'Przypadki testowe'!$K$2:$K$300,"Niezaliczony"))</f>
        <v/>
      </c>
      <c r="H29" s="15" t="str">
        <f>IF(A29="","",IF(E29&gt;0,"Pokryte","BRAK"))</f>
        <v/>
      </c>
    </row>
    <row r="30" spans="5:8">
      <c r="E30" s="15" t="str">
        <f>IF(A30="","",COUNTIF('Przypadki testowe'!$C$2:$C$300,"*"&amp;A30&amp;"*"))</f>
        <v/>
      </c>
      <c r="F30" s="15" t="str">
        <f>IF(A30="","",COUNTIFS('Przypadki testowe'!$C$2:$C$300,"*"&amp;A30&amp;"*",'Przypadki testowe'!$K$2:$K$300,"Zaliczony"))</f>
        <v/>
      </c>
      <c r="G30" s="15" t="str">
        <f>IF(A30="","",COUNTIFS('Przypadki testowe'!$C$2:$C$300,"*"&amp;A30&amp;"*",'Przypadki testowe'!$K$2:$K$300,"Niezaliczony"))</f>
        <v/>
      </c>
      <c r="H30" s="15" t="str">
        <f>IF(A30="","",IF(E30&gt;0,"Pokryte","BRAK"))</f>
        <v/>
      </c>
    </row>
    <row r="31" spans="5:8">
      <c r="E31" s="15" t="str">
        <f>IF(A31="","",COUNTIF('Przypadki testowe'!$C$2:$C$300,"*"&amp;A31&amp;"*"))</f>
        <v/>
      </c>
      <c r="F31" s="15" t="str">
        <f>IF(A31="","",COUNTIFS('Przypadki testowe'!$C$2:$C$300,"*"&amp;A31&amp;"*",'Przypadki testowe'!$K$2:$K$300,"Zaliczony"))</f>
        <v/>
      </c>
      <c r="G31" s="15" t="str">
        <f>IF(A31="","",COUNTIFS('Przypadki testowe'!$C$2:$C$300,"*"&amp;A31&amp;"*",'Przypadki testowe'!$K$2:$K$300,"Niezaliczony"))</f>
        <v/>
      </c>
      <c r="H31" s="15" t="str">
        <f>IF(A31="","",IF(E31&gt;0,"Pokryte","BRAK"))</f>
        <v/>
      </c>
    </row>
    <row r="32" spans="5:8">
      <c r="E32" s="15" t="str">
        <f>IF(A32="","",COUNTIF('Przypadki testowe'!$C$2:$C$300,"*"&amp;A32&amp;"*"))</f>
        <v/>
      </c>
      <c r="F32" s="15" t="str">
        <f>IF(A32="","",COUNTIFS('Przypadki testowe'!$C$2:$C$300,"*"&amp;A32&amp;"*",'Przypadki testowe'!$K$2:$K$300,"Zaliczony"))</f>
        <v/>
      </c>
      <c r="G32" s="15" t="str">
        <f>IF(A32="","",COUNTIFS('Przypadki testowe'!$C$2:$C$300,"*"&amp;A32&amp;"*",'Przypadki testowe'!$K$2:$K$300,"Niezaliczony"))</f>
        <v/>
      </c>
      <c r="H32" s="15" t="str">
        <f>IF(A32="","",IF(E32&gt;0,"Pokryte","BRAK"))</f>
        <v/>
      </c>
    </row>
    <row r="33" spans="5:8">
      <c r="E33" s="15" t="str">
        <f>IF(A33="","",COUNTIF('Przypadki testowe'!$C$2:$C$300,"*"&amp;A33&amp;"*"))</f>
        <v/>
      </c>
      <c r="F33" s="15" t="str">
        <f>IF(A33="","",COUNTIFS('Przypadki testowe'!$C$2:$C$300,"*"&amp;A33&amp;"*",'Przypadki testowe'!$K$2:$K$300,"Zaliczony"))</f>
        <v/>
      </c>
      <c r="G33" s="15" t="str">
        <f>IF(A33="","",COUNTIFS('Przypadki testowe'!$C$2:$C$300,"*"&amp;A33&amp;"*",'Przypadki testowe'!$K$2:$K$300,"Niezaliczony"))</f>
        <v/>
      </c>
      <c r="H33" s="15" t="str">
        <f>IF(A33="","",IF(E33&gt;0,"Pokryte","BRAK"))</f>
        <v/>
      </c>
    </row>
    <row r="34" spans="5:8">
      <c r="E34" s="15" t="str">
        <f>IF(A34="","",COUNTIF('Przypadki testowe'!$C$2:$C$300,"*"&amp;A34&amp;"*"))</f>
        <v/>
      </c>
      <c r="F34" s="15" t="str">
        <f>IF(A34="","",COUNTIFS('Przypadki testowe'!$C$2:$C$300,"*"&amp;A34&amp;"*",'Przypadki testowe'!$K$2:$K$300,"Zaliczony"))</f>
        <v/>
      </c>
      <c r="G34" s="15" t="str">
        <f>IF(A34="","",COUNTIFS('Przypadki testowe'!$C$2:$C$300,"*"&amp;A34&amp;"*",'Przypadki testowe'!$K$2:$K$300,"Niezaliczony"))</f>
        <v/>
      </c>
      <c r="H34" s="15" t="str">
        <f>IF(A34="","",IF(E34&gt;0,"Pokryte","BRAK"))</f>
        <v/>
      </c>
    </row>
    <row r="35" spans="5:8">
      <c r="E35" s="15" t="str">
        <f>IF(A35="","",COUNTIF('Przypadki testowe'!$C$2:$C$300,"*"&amp;A35&amp;"*"))</f>
        <v/>
      </c>
      <c r="F35" s="15" t="str">
        <f>IF(A35="","",COUNTIFS('Przypadki testowe'!$C$2:$C$300,"*"&amp;A35&amp;"*",'Przypadki testowe'!$K$2:$K$300,"Zaliczony"))</f>
        <v/>
      </c>
      <c r="G35" s="15" t="str">
        <f>IF(A35="","",COUNTIFS('Przypadki testowe'!$C$2:$C$300,"*"&amp;A35&amp;"*",'Przypadki testowe'!$K$2:$K$300,"Niezaliczony"))</f>
        <v/>
      </c>
      <c r="H35" s="15" t="str">
        <f>IF(A35="","",IF(E35&gt;0,"Pokryte","BRAK"))</f>
        <v/>
      </c>
    </row>
    <row r="36" spans="5:8">
      <c r="E36" s="15" t="str">
        <f>IF(A36="","",COUNTIF('Przypadki testowe'!$C$2:$C$300,"*"&amp;A36&amp;"*"))</f>
        <v/>
      </c>
      <c r="F36" s="15" t="str">
        <f>IF(A36="","",COUNTIFS('Przypadki testowe'!$C$2:$C$300,"*"&amp;A36&amp;"*",'Przypadki testowe'!$K$2:$K$300,"Zaliczony"))</f>
        <v/>
      </c>
      <c r="G36" s="15" t="str">
        <f>IF(A36="","",COUNTIFS('Przypadki testowe'!$C$2:$C$300,"*"&amp;A36&amp;"*",'Przypadki testowe'!$K$2:$K$300,"Niezaliczony"))</f>
        <v/>
      </c>
      <c r="H36" s="15" t="str">
        <f>IF(A36="","",IF(E36&gt;0,"Pokryte","BRAK"))</f>
        <v/>
      </c>
    </row>
    <row r="37" spans="5:8">
      <c r="E37" s="15" t="str">
        <f>IF(A37="","",COUNTIF('Przypadki testowe'!$C$2:$C$300,"*"&amp;A37&amp;"*"))</f>
        <v/>
      </c>
      <c r="F37" s="15" t="str">
        <f>IF(A37="","",COUNTIFS('Przypadki testowe'!$C$2:$C$300,"*"&amp;A37&amp;"*",'Przypadki testowe'!$K$2:$K$300,"Zaliczony"))</f>
        <v/>
      </c>
      <c r="G37" s="15" t="str">
        <f>IF(A37="","",COUNTIFS('Przypadki testowe'!$C$2:$C$300,"*"&amp;A37&amp;"*",'Przypadki testowe'!$K$2:$K$300,"Niezaliczony"))</f>
        <v/>
      </c>
      <c r="H37" s="15" t="str">
        <f>IF(A37="","",IF(E37&gt;0,"Pokryte","BRAK"))</f>
        <v/>
      </c>
    </row>
    <row r="38" spans="5:8">
      <c r="E38" s="15" t="str">
        <f>IF(A38="","",COUNTIF('Przypadki testowe'!$C$2:$C$300,"*"&amp;A38&amp;"*"))</f>
        <v/>
      </c>
      <c r="F38" s="15" t="str">
        <f>IF(A38="","",COUNTIFS('Przypadki testowe'!$C$2:$C$300,"*"&amp;A38&amp;"*",'Przypadki testowe'!$K$2:$K$300,"Zaliczony"))</f>
        <v/>
      </c>
      <c r="G38" s="15" t="str">
        <f>IF(A38="","",COUNTIFS('Przypadki testowe'!$C$2:$C$300,"*"&amp;A38&amp;"*",'Przypadki testowe'!$K$2:$K$300,"Niezaliczony"))</f>
        <v/>
      </c>
      <c r="H38" s="15" t="str">
        <f>IF(A38="","",IF(E38&gt;0,"Pokryte","BRAK"))</f>
        <v/>
      </c>
    </row>
    <row r="39" spans="5:8">
      <c r="E39" s="15" t="str">
        <f>IF(A39="","",COUNTIF('Przypadki testowe'!$C$2:$C$300,"*"&amp;A39&amp;"*"))</f>
        <v/>
      </c>
      <c r="F39" s="15" t="str">
        <f>IF(A39="","",COUNTIFS('Przypadki testowe'!$C$2:$C$300,"*"&amp;A39&amp;"*",'Przypadki testowe'!$K$2:$K$300,"Zaliczony"))</f>
        <v/>
      </c>
      <c r="G39" s="15" t="str">
        <f>IF(A39="","",COUNTIFS('Przypadki testowe'!$C$2:$C$300,"*"&amp;A39&amp;"*",'Przypadki testowe'!$K$2:$K$300,"Niezaliczony"))</f>
        <v/>
      </c>
      <c r="H39" s="15" t="str">
        <f>IF(A39="","",IF(E39&gt;0,"Pokryte","BRAK"))</f>
        <v/>
      </c>
    </row>
    <row r="40" spans="5:8">
      <c r="E40" s="15" t="str">
        <f>IF(A40="","",COUNTIF('Przypadki testowe'!$C$2:$C$300,"*"&amp;A40&amp;"*"))</f>
        <v/>
      </c>
      <c r="F40" s="15" t="str">
        <f>IF(A40="","",COUNTIFS('Przypadki testowe'!$C$2:$C$300,"*"&amp;A40&amp;"*",'Przypadki testowe'!$K$2:$K$300,"Zaliczony"))</f>
        <v/>
      </c>
      <c r="G40" s="15" t="str">
        <f>IF(A40="","",COUNTIFS('Przypadki testowe'!$C$2:$C$300,"*"&amp;A40&amp;"*",'Przypadki testowe'!$K$2:$K$300,"Niezaliczony"))</f>
        <v/>
      </c>
      <c r="H40" s="15" t="str">
        <f>IF(A40="","",IF(E40&gt;0,"Pokryte","BRAK"))</f>
        <v/>
      </c>
    </row>
    <row r="41" spans="5:8">
      <c r="E41" s="15" t="str">
        <f>IF(A41="","",COUNTIF('Przypadki testowe'!$C$2:$C$300,"*"&amp;A41&amp;"*"))</f>
        <v/>
      </c>
      <c r="F41" s="15" t="str">
        <f>IF(A41="","",COUNTIFS('Przypadki testowe'!$C$2:$C$300,"*"&amp;A41&amp;"*",'Przypadki testowe'!$K$2:$K$300,"Zaliczony"))</f>
        <v/>
      </c>
      <c r="G41" s="15" t="str">
        <f>IF(A41="","",COUNTIFS('Przypadki testowe'!$C$2:$C$300,"*"&amp;A41&amp;"*",'Przypadki testowe'!$K$2:$K$300,"Niezaliczony"))</f>
        <v/>
      </c>
      <c r="H41" s="15" t="str">
        <f>IF(A41="","",IF(E41&gt;0,"Pokryte","BRAK"))</f>
        <v/>
      </c>
    </row>
    <row r="42" spans="5:8">
      <c r="E42" s="15" t="str">
        <f>IF(A42="","",COUNTIF('Przypadki testowe'!$C$2:$C$300,"*"&amp;A42&amp;"*"))</f>
        <v/>
      </c>
      <c r="F42" s="15" t="str">
        <f>IF(A42="","",COUNTIFS('Przypadki testowe'!$C$2:$C$300,"*"&amp;A42&amp;"*",'Przypadki testowe'!$K$2:$K$300,"Zaliczony"))</f>
        <v/>
      </c>
      <c r="G42" s="15" t="str">
        <f>IF(A42="","",COUNTIFS('Przypadki testowe'!$C$2:$C$300,"*"&amp;A42&amp;"*",'Przypadki testowe'!$K$2:$K$300,"Niezaliczony"))</f>
        <v/>
      </c>
      <c r="H42" s="15" t="str">
        <f>IF(A42="","",IF(E42&gt;0,"Pokryte","BRAK"))</f>
        <v/>
      </c>
    </row>
    <row r="43" spans="5:8">
      <c r="E43" s="15" t="str">
        <f>IF(A43="","",COUNTIF('Przypadki testowe'!$C$2:$C$300,"*"&amp;A43&amp;"*"))</f>
        <v/>
      </c>
      <c r="F43" s="15" t="str">
        <f>IF(A43="","",COUNTIFS('Przypadki testowe'!$C$2:$C$300,"*"&amp;A43&amp;"*",'Przypadki testowe'!$K$2:$K$300,"Zaliczony"))</f>
        <v/>
      </c>
      <c r="G43" s="15" t="str">
        <f>IF(A43="","",COUNTIFS('Przypadki testowe'!$C$2:$C$300,"*"&amp;A43&amp;"*",'Przypadki testowe'!$K$2:$K$300,"Niezaliczony"))</f>
        <v/>
      </c>
      <c r="H43" s="15" t="str">
        <f>IF(A43="","",IF(E43&gt;0,"Pokryte","BRAK"))</f>
        <v/>
      </c>
    </row>
    <row r="44" spans="5:8">
      <c r="E44" s="15" t="str">
        <f>IF(A44="","",COUNTIF('Przypadki testowe'!$C$2:$C$300,"*"&amp;A44&amp;"*"))</f>
        <v/>
      </c>
      <c r="F44" s="15" t="str">
        <f>IF(A44="","",COUNTIFS('Przypadki testowe'!$C$2:$C$300,"*"&amp;A44&amp;"*",'Przypadki testowe'!$K$2:$K$300,"Zaliczony"))</f>
        <v/>
      </c>
      <c r="G44" s="15" t="str">
        <f>IF(A44="","",COUNTIFS('Przypadki testowe'!$C$2:$C$300,"*"&amp;A44&amp;"*",'Przypadki testowe'!$K$2:$K$300,"Niezaliczony"))</f>
        <v/>
      </c>
      <c r="H44" s="15" t="str">
        <f>IF(A44="","",IF(E44&gt;0,"Pokryte","BRAK"))</f>
        <v/>
      </c>
    </row>
    <row r="45" spans="5:8">
      <c r="E45" s="15" t="str">
        <f>IF(A45="","",COUNTIF('Przypadki testowe'!$C$2:$C$300,"*"&amp;A45&amp;"*"))</f>
        <v/>
      </c>
      <c r="F45" s="15" t="str">
        <f>IF(A45="","",COUNTIFS('Przypadki testowe'!$C$2:$C$300,"*"&amp;A45&amp;"*",'Przypadki testowe'!$K$2:$K$300,"Zaliczony"))</f>
        <v/>
      </c>
      <c r="G45" s="15" t="str">
        <f>IF(A45="","",COUNTIFS('Przypadki testowe'!$C$2:$C$300,"*"&amp;A45&amp;"*",'Przypadki testowe'!$K$2:$K$300,"Niezaliczony"))</f>
        <v/>
      </c>
      <c r="H45" s="15" t="str">
        <f>IF(A45="","",IF(E45&gt;0,"Pokryte","BRAK"))</f>
        <v/>
      </c>
    </row>
    <row r="46" spans="5:8">
      <c r="E46" s="15" t="str">
        <f>IF(A46="","",COUNTIF('Przypadki testowe'!$C$2:$C$300,"*"&amp;A46&amp;"*"))</f>
        <v/>
      </c>
      <c r="F46" s="15" t="str">
        <f>IF(A46="","",COUNTIFS('Przypadki testowe'!$C$2:$C$300,"*"&amp;A46&amp;"*",'Przypadki testowe'!$K$2:$K$300,"Zaliczony"))</f>
        <v/>
      </c>
      <c r="G46" s="15" t="str">
        <f>IF(A46="","",COUNTIFS('Przypadki testowe'!$C$2:$C$300,"*"&amp;A46&amp;"*",'Przypadki testowe'!$K$2:$K$300,"Niezaliczony"))</f>
        <v/>
      </c>
      <c r="H46" s="15" t="str">
        <f>IF(A46="","",IF(E46&gt;0,"Pokryte","BRAK"))</f>
        <v/>
      </c>
    </row>
    <row r="47" spans="5:8">
      <c r="E47" s="15" t="str">
        <f>IF(A47="","",COUNTIF('Przypadki testowe'!$C$2:$C$300,"*"&amp;A47&amp;"*"))</f>
        <v/>
      </c>
      <c r="F47" s="15" t="str">
        <f>IF(A47="","",COUNTIFS('Przypadki testowe'!$C$2:$C$300,"*"&amp;A47&amp;"*",'Przypadki testowe'!$K$2:$K$300,"Zaliczony"))</f>
        <v/>
      </c>
      <c r="G47" s="15" t="str">
        <f>IF(A47="","",COUNTIFS('Przypadki testowe'!$C$2:$C$300,"*"&amp;A47&amp;"*",'Przypadki testowe'!$K$2:$K$300,"Niezaliczony"))</f>
        <v/>
      </c>
      <c r="H47" s="15" t="str">
        <f>IF(A47="","",IF(E47&gt;0,"Pokryte","BRAK"))</f>
        <v/>
      </c>
    </row>
    <row r="48" spans="5:8">
      <c r="E48" s="15" t="str">
        <f>IF(A48="","",COUNTIF('Przypadki testowe'!$C$2:$C$300,"*"&amp;A48&amp;"*"))</f>
        <v/>
      </c>
      <c r="F48" s="15" t="str">
        <f>IF(A48="","",COUNTIFS('Przypadki testowe'!$C$2:$C$300,"*"&amp;A48&amp;"*",'Przypadki testowe'!$K$2:$K$300,"Zaliczony"))</f>
        <v/>
      </c>
      <c r="G48" s="15" t="str">
        <f>IF(A48="","",COUNTIFS('Przypadki testowe'!$C$2:$C$300,"*"&amp;A48&amp;"*",'Przypadki testowe'!$K$2:$K$300,"Niezaliczony"))</f>
        <v/>
      </c>
      <c r="H48" s="15" t="str">
        <f>IF(A48="","",IF(E48&gt;0,"Pokryte","BRAK"))</f>
        <v/>
      </c>
    </row>
    <row r="49" spans="5:8">
      <c r="E49" s="15" t="str">
        <f>IF(A49="","",COUNTIF('Przypadki testowe'!$C$2:$C$300,"*"&amp;A49&amp;"*"))</f>
        <v/>
      </c>
      <c r="F49" s="15" t="str">
        <f>IF(A49="","",COUNTIFS('Przypadki testowe'!$C$2:$C$300,"*"&amp;A49&amp;"*",'Przypadki testowe'!$K$2:$K$300,"Zaliczony"))</f>
        <v/>
      </c>
      <c r="G49" s="15" t="str">
        <f>IF(A49="","",COUNTIFS('Przypadki testowe'!$C$2:$C$300,"*"&amp;A49&amp;"*",'Przypadki testowe'!$K$2:$K$300,"Niezaliczony"))</f>
        <v/>
      </c>
      <c r="H49" s="15" t="str">
        <f>IF(A49="","",IF(E49&gt;0,"Pokryte","BRAK"))</f>
        <v/>
      </c>
    </row>
    <row r="50" spans="5:8">
      <c r="E50" s="15" t="str">
        <f>IF(A50="","",COUNTIF('Przypadki testowe'!$C$2:$C$300,"*"&amp;A50&amp;"*"))</f>
        <v/>
      </c>
      <c r="F50" s="15" t="str">
        <f>IF(A50="","",COUNTIFS('Przypadki testowe'!$C$2:$C$300,"*"&amp;A50&amp;"*",'Przypadki testowe'!$K$2:$K$300,"Zaliczony"))</f>
        <v/>
      </c>
      <c r="G50" s="15" t="str">
        <f>IF(A50="","",COUNTIFS('Przypadki testowe'!$C$2:$C$300,"*"&amp;A50&amp;"*",'Przypadki testowe'!$K$2:$K$300,"Niezaliczony"))</f>
        <v/>
      </c>
      <c r="H50" s="15" t="str">
        <f>IF(A50="","",IF(E50&gt;0,"Pokryte","BRAK"))</f>
        <v/>
      </c>
    </row>
    <row r="51" spans="5:8">
      <c r="E51" s="15" t="str">
        <f>IF(A51="","",COUNTIF('Przypadki testowe'!$C$2:$C$300,"*"&amp;A51&amp;"*"))</f>
        <v/>
      </c>
      <c r="F51" s="15" t="str">
        <f>IF(A51="","",COUNTIFS('Przypadki testowe'!$C$2:$C$300,"*"&amp;A51&amp;"*",'Przypadki testowe'!$K$2:$K$300,"Zaliczony"))</f>
        <v/>
      </c>
      <c r="G51" s="15" t="str">
        <f>IF(A51="","",COUNTIFS('Przypadki testowe'!$C$2:$C$300,"*"&amp;A51&amp;"*",'Przypadki testowe'!$K$2:$K$300,"Niezaliczony"))</f>
        <v/>
      </c>
      <c r="H51" s="15" t="str">
        <f>IF(A51="","",IF(E51&gt;0,"Pokryte","BRAK"))</f>
        <v/>
      </c>
    </row>
    <row r="52" spans="5:8">
      <c r="E52" s="15" t="str">
        <f>IF(A52="","",COUNTIF('Przypadki testowe'!$C$2:$C$300,"*"&amp;A52&amp;"*"))</f>
        <v/>
      </c>
      <c r="F52" s="15" t="str">
        <f>IF(A52="","",COUNTIFS('Przypadki testowe'!$C$2:$C$300,"*"&amp;A52&amp;"*",'Przypadki testowe'!$K$2:$K$300,"Zaliczony"))</f>
        <v/>
      </c>
      <c r="G52" s="15" t="str">
        <f>IF(A52="","",COUNTIFS('Przypadki testowe'!$C$2:$C$300,"*"&amp;A52&amp;"*",'Przypadki testowe'!$K$2:$K$300,"Niezaliczony"))</f>
        <v/>
      </c>
      <c r="H52" s="15" t="str">
        <f>IF(A52="","",IF(E52&gt;0,"Pokryte","BRAK"))</f>
        <v/>
      </c>
    </row>
    <row r="53" spans="5:8">
      <c r="E53" s="15" t="str">
        <f>IF(A53="","",COUNTIF('Przypadki testowe'!$C$2:$C$300,"*"&amp;A53&amp;"*"))</f>
        <v/>
      </c>
      <c r="F53" s="15" t="str">
        <f>IF(A53="","",COUNTIFS('Przypadki testowe'!$C$2:$C$300,"*"&amp;A53&amp;"*",'Przypadki testowe'!$K$2:$K$300,"Zaliczony"))</f>
        <v/>
      </c>
      <c r="G53" s="15" t="str">
        <f>IF(A53="","",COUNTIFS('Przypadki testowe'!$C$2:$C$300,"*"&amp;A53&amp;"*",'Przypadki testowe'!$K$2:$K$300,"Niezaliczony"))</f>
        <v/>
      </c>
      <c r="H53" s="15" t="str">
        <f>IF(A53="","",IF(E53&gt;0,"Pokryte","BRAK"))</f>
        <v/>
      </c>
    </row>
    <row r="54" spans="5:8">
      <c r="E54" s="15" t="str">
        <f>IF(A54="","",COUNTIF('Przypadki testowe'!$C$2:$C$300,"*"&amp;A54&amp;"*"))</f>
        <v/>
      </c>
      <c r="F54" s="15" t="str">
        <f>IF(A54="","",COUNTIFS('Przypadki testowe'!$C$2:$C$300,"*"&amp;A54&amp;"*",'Przypadki testowe'!$K$2:$K$300,"Zaliczony"))</f>
        <v/>
      </c>
      <c r="G54" s="15" t="str">
        <f>IF(A54="","",COUNTIFS('Przypadki testowe'!$C$2:$C$300,"*"&amp;A54&amp;"*",'Przypadki testowe'!$K$2:$K$300,"Niezaliczony"))</f>
        <v/>
      </c>
      <c r="H54" s="15" t="str">
        <f>IF(A54="","",IF(E54&gt;0,"Pokryte","BRAK"))</f>
        <v/>
      </c>
    </row>
    <row r="55" spans="5:8">
      <c r="E55" s="15" t="str">
        <f>IF(A55="","",COUNTIF('Przypadki testowe'!$C$2:$C$300,"*"&amp;A55&amp;"*"))</f>
        <v/>
      </c>
      <c r="F55" s="15" t="str">
        <f>IF(A55="","",COUNTIFS('Przypadki testowe'!$C$2:$C$300,"*"&amp;A55&amp;"*",'Przypadki testowe'!$K$2:$K$300,"Zaliczony"))</f>
        <v/>
      </c>
      <c r="G55" s="15" t="str">
        <f>IF(A55="","",COUNTIFS('Przypadki testowe'!$C$2:$C$300,"*"&amp;A55&amp;"*",'Przypadki testowe'!$K$2:$K$300,"Niezaliczony"))</f>
        <v/>
      </c>
      <c r="H55" s="15" t="str">
        <f>IF(A55="","",IF(E55&gt;0,"Pokryte","BRAK"))</f>
        <v/>
      </c>
    </row>
    <row r="56" spans="5:8">
      <c r="E56" s="15" t="str">
        <f>IF(A56="","",COUNTIF('Przypadki testowe'!$C$2:$C$300,"*"&amp;A56&amp;"*"))</f>
        <v/>
      </c>
      <c r="F56" s="15" t="str">
        <f>IF(A56="","",COUNTIFS('Przypadki testowe'!$C$2:$C$300,"*"&amp;A56&amp;"*",'Przypadki testowe'!$K$2:$K$300,"Zaliczony"))</f>
        <v/>
      </c>
      <c r="G56" s="15" t="str">
        <f>IF(A56="","",COUNTIFS('Przypadki testowe'!$C$2:$C$300,"*"&amp;A56&amp;"*",'Przypadki testowe'!$K$2:$K$300,"Niezaliczony"))</f>
        <v/>
      </c>
      <c r="H56" s="15" t="str">
        <f>IF(A56="","",IF(E56&gt;0,"Pokryte","BRAK"))</f>
        <v/>
      </c>
    </row>
    <row r="57" spans="5:8">
      <c r="E57" s="15" t="str">
        <f>IF(A57="","",COUNTIF('Przypadki testowe'!$C$2:$C$300,"*"&amp;A57&amp;"*"))</f>
        <v/>
      </c>
      <c r="F57" s="15" t="str">
        <f>IF(A57="","",COUNTIFS('Przypadki testowe'!$C$2:$C$300,"*"&amp;A57&amp;"*",'Przypadki testowe'!$K$2:$K$300,"Zaliczony"))</f>
        <v/>
      </c>
      <c r="G57" s="15" t="str">
        <f>IF(A57="","",COUNTIFS('Przypadki testowe'!$C$2:$C$300,"*"&amp;A57&amp;"*",'Przypadki testowe'!$K$2:$K$300,"Niezaliczony"))</f>
        <v/>
      </c>
      <c r="H57" s="15" t="str">
        <f>IF(A57="","",IF(E57&gt;0,"Pokryte","BRAK"))</f>
        <v/>
      </c>
    </row>
    <row r="58" spans="5:8">
      <c r="E58" s="15" t="str">
        <f>IF(A58="","",COUNTIF('Przypadki testowe'!$C$2:$C$300,"*"&amp;A58&amp;"*"))</f>
        <v/>
      </c>
      <c r="F58" s="15" t="str">
        <f>IF(A58="","",COUNTIFS('Przypadki testowe'!$C$2:$C$300,"*"&amp;A58&amp;"*",'Przypadki testowe'!$K$2:$K$300,"Zaliczony"))</f>
        <v/>
      </c>
      <c r="G58" s="15" t="str">
        <f>IF(A58="","",COUNTIFS('Przypadki testowe'!$C$2:$C$300,"*"&amp;A58&amp;"*",'Przypadki testowe'!$K$2:$K$300,"Niezaliczony"))</f>
        <v/>
      </c>
      <c r="H58" s="15" t="str">
        <f>IF(A58="","",IF(E58&gt;0,"Pokryte","BRAK"))</f>
        <v/>
      </c>
    </row>
    <row r="59" spans="5:8">
      <c r="E59" s="15" t="str">
        <f>IF(A59="","",COUNTIF('Przypadki testowe'!$C$2:$C$300,"*"&amp;A59&amp;"*"))</f>
        <v/>
      </c>
      <c r="F59" s="15" t="str">
        <f>IF(A59="","",COUNTIFS('Przypadki testowe'!$C$2:$C$300,"*"&amp;A59&amp;"*",'Przypadki testowe'!$K$2:$K$300,"Zaliczony"))</f>
        <v/>
      </c>
      <c r="G59" s="15" t="str">
        <f>IF(A59="","",COUNTIFS('Przypadki testowe'!$C$2:$C$300,"*"&amp;A59&amp;"*",'Przypadki testowe'!$K$2:$K$300,"Niezaliczony"))</f>
        <v/>
      </c>
      <c r="H59" s="15" t="str">
        <f>IF(A59="","",IF(E59&gt;0,"Pokryte","BRAK"))</f>
        <v/>
      </c>
    </row>
    <row r="60" spans="5:8">
      <c r="E60" s="15" t="str">
        <f>IF(A60="","",COUNTIF('Przypadki testowe'!$C$2:$C$300,"*"&amp;A60&amp;"*"))</f>
        <v/>
      </c>
      <c r="F60" s="15" t="str">
        <f>IF(A60="","",COUNTIFS('Przypadki testowe'!$C$2:$C$300,"*"&amp;A60&amp;"*",'Przypadki testowe'!$K$2:$K$300,"Zaliczony"))</f>
        <v/>
      </c>
      <c r="G60" s="15" t="str">
        <f>IF(A60="","",COUNTIFS('Przypadki testowe'!$C$2:$C$300,"*"&amp;A60&amp;"*",'Przypadki testowe'!$K$2:$K$300,"Niezaliczony"))</f>
        <v/>
      </c>
      <c r="H60" s="15" t="str">
        <f>IF(A60="","",IF(E60&gt;0,"Pokryte","BRAK"))</f>
        <v/>
      </c>
    </row>
    <row r="61" spans="5:8">
      <c r="E61" s="15" t="str">
        <f>IF(A61="","",COUNTIF('Przypadki testowe'!$C$2:$C$300,"*"&amp;A61&amp;"*"))</f>
        <v/>
      </c>
      <c r="F61" s="15" t="str">
        <f>IF(A61="","",COUNTIFS('Przypadki testowe'!$C$2:$C$300,"*"&amp;A61&amp;"*",'Przypadki testowe'!$K$2:$K$300,"Zaliczony"))</f>
        <v/>
      </c>
      <c r="G61" s="15" t="str">
        <f>IF(A61="","",COUNTIFS('Przypadki testowe'!$C$2:$C$300,"*"&amp;A61&amp;"*",'Przypadki testowe'!$K$2:$K$300,"Niezaliczony"))</f>
        <v/>
      </c>
      <c r="H61" s="15" t="str">
        <f>IF(A61="","",IF(E61&gt;0,"Pokryte","BRAK"))</f>
        <v/>
      </c>
    </row>
    <row r="62" spans="5:8">
      <c r="E62" s="15" t="str">
        <f>IF(A62="","",COUNTIF('Przypadki testowe'!$C$2:$C$300,"*"&amp;A62&amp;"*"))</f>
        <v/>
      </c>
      <c r="F62" s="15" t="str">
        <f>IF(A62="","",COUNTIFS('Przypadki testowe'!$C$2:$C$300,"*"&amp;A62&amp;"*",'Przypadki testowe'!$K$2:$K$300,"Zaliczony"))</f>
        <v/>
      </c>
      <c r="G62" s="15" t="str">
        <f>IF(A62="","",COUNTIFS('Przypadki testowe'!$C$2:$C$300,"*"&amp;A62&amp;"*",'Przypadki testowe'!$K$2:$K$300,"Niezaliczony"))</f>
        <v/>
      </c>
      <c r="H62" s="15" t="str">
        <f>IF(A62="","",IF(E62&gt;0,"Pokryte","BRAK"))</f>
        <v/>
      </c>
    </row>
    <row r="63" spans="5:8">
      <c r="E63" s="15" t="str">
        <f>IF(A63="","",COUNTIF('Przypadki testowe'!$C$2:$C$300,"*"&amp;A63&amp;"*"))</f>
        <v/>
      </c>
      <c r="F63" s="15" t="str">
        <f>IF(A63="","",COUNTIFS('Przypadki testowe'!$C$2:$C$300,"*"&amp;A63&amp;"*",'Przypadki testowe'!$K$2:$K$300,"Zaliczony"))</f>
        <v/>
      </c>
      <c r="G63" s="15" t="str">
        <f>IF(A63="","",COUNTIFS('Przypadki testowe'!$C$2:$C$300,"*"&amp;A63&amp;"*",'Przypadki testowe'!$K$2:$K$300,"Niezaliczony"))</f>
        <v/>
      </c>
      <c r="H63" s="15" t="str">
        <f>IF(A63="","",IF(E63&gt;0,"Pokryte","BRAK"))</f>
        <v/>
      </c>
    </row>
    <row r="64" spans="5:8">
      <c r="E64" s="15" t="str">
        <f>IF(A64="","",COUNTIF('Przypadki testowe'!$C$2:$C$300,"*"&amp;A64&amp;"*"))</f>
        <v/>
      </c>
      <c r="F64" s="15" t="str">
        <f>IF(A64="","",COUNTIFS('Przypadki testowe'!$C$2:$C$300,"*"&amp;A64&amp;"*",'Przypadki testowe'!$K$2:$K$300,"Zaliczony"))</f>
        <v/>
      </c>
      <c r="G64" s="15" t="str">
        <f>IF(A64="","",COUNTIFS('Przypadki testowe'!$C$2:$C$300,"*"&amp;A64&amp;"*",'Przypadki testowe'!$K$2:$K$300,"Niezaliczony"))</f>
        <v/>
      </c>
      <c r="H64" s="15" t="str">
        <f>IF(A64="","",IF(E64&gt;0,"Pokryte","BRAK"))</f>
        <v/>
      </c>
    </row>
    <row r="65" spans="5:8">
      <c r="E65" s="15" t="str">
        <f>IF(A65="","",COUNTIF('Przypadki testowe'!$C$2:$C$300,"*"&amp;A65&amp;"*"))</f>
        <v/>
      </c>
      <c r="F65" s="15" t="str">
        <f>IF(A65="","",COUNTIFS('Przypadki testowe'!$C$2:$C$300,"*"&amp;A65&amp;"*",'Przypadki testowe'!$K$2:$K$300,"Zaliczony"))</f>
        <v/>
      </c>
      <c r="G65" s="15" t="str">
        <f>IF(A65="","",COUNTIFS('Przypadki testowe'!$C$2:$C$300,"*"&amp;A65&amp;"*",'Przypadki testowe'!$K$2:$K$300,"Niezaliczony"))</f>
        <v/>
      </c>
      <c r="H65" s="15" t="str">
        <f>IF(A65="","",IF(E65&gt;0,"Pokryte","BRAK"))</f>
        <v/>
      </c>
    </row>
    <row r="66" spans="5:8">
      <c r="E66" s="15" t="str">
        <f>IF(A66="","",COUNTIF('Przypadki testowe'!$C$2:$C$300,"*"&amp;A66&amp;"*"))</f>
        <v/>
      </c>
      <c r="F66" s="15" t="str">
        <f>IF(A66="","",COUNTIFS('Przypadki testowe'!$C$2:$C$300,"*"&amp;A66&amp;"*",'Przypadki testowe'!$K$2:$K$300,"Zaliczony"))</f>
        <v/>
      </c>
      <c r="G66" s="15" t="str">
        <f>IF(A66="","",COUNTIFS('Przypadki testowe'!$C$2:$C$300,"*"&amp;A66&amp;"*",'Przypadki testowe'!$K$2:$K$300,"Niezaliczony"))</f>
        <v/>
      </c>
      <c r="H66" s="15" t="str">
        <f>IF(A66="","",IF(E66&gt;0,"Pokryte","BRAK"))</f>
        <v/>
      </c>
    </row>
    <row r="67" spans="5:8">
      <c r="E67" s="15" t="str">
        <f>IF(A67="","",COUNTIF('Przypadki testowe'!$C$2:$C$300,"*"&amp;A67&amp;"*"))</f>
        <v/>
      </c>
      <c r="F67" s="15" t="str">
        <f>IF(A67="","",COUNTIFS('Przypadki testowe'!$C$2:$C$300,"*"&amp;A67&amp;"*",'Przypadki testowe'!$K$2:$K$300,"Zaliczony"))</f>
        <v/>
      </c>
      <c r="G67" s="15" t="str">
        <f>IF(A67="","",COUNTIFS('Przypadki testowe'!$C$2:$C$300,"*"&amp;A67&amp;"*",'Przypadki testowe'!$K$2:$K$300,"Niezaliczony"))</f>
        <v/>
      </c>
      <c r="H67" s="15" t="str">
        <f>IF(A67="","",IF(E67&gt;0,"Pokryte","BRAK"))</f>
        <v/>
      </c>
    </row>
    <row r="68" spans="5:8">
      <c r="E68" s="15" t="str">
        <f>IF(A68="","",COUNTIF('Przypadki testowe'!$C$2:$C$300,"*"&amp;A68&amp;"*"))</f>
        <v/>
      </c>
      <c r="F68" s="15" t="str">
        <f>IF(A68="","",COUNTIFS('Przypadki testowe'!$C$2:$C$300,"*"&amp;A68&amp;"*",'Przypadki testowe'!$K$2:$K$300,"Zaliczony"))</f>
        <v/>
      </c>
      <c r="G68" s="15" t="str">
        <f>IF(A68="","",COUNTIFS('Przypadki testowe'!$C$2:$C$300,"*"&amp;A68&amp;"*",'Przypadki testowe'!$K$2:$K$300,"Niezaliczony"))</f>
        <v/>
      </c>
      <c r="H68" s="15" t="str">
        <f>IF(A68="","",IF(E68&gt;0,"Pokryte","BRAK"))</f>
        <v/>
      </c>
    </row>
    <row r="69" spans="5:8">
      <c r="E69" s="15" t="str">
        <f>IF(A69="","",COUNTIF('Przypadki testowe'!$C$2:$C$300,"*"&amp;A69&amp;"*"))</f>
        <v/>
      </c>
      <c r="F69" s="15" t="str">
        <f>IF(A69="","",COUNTIFS('Przypadki testowe'!$C$2:$C$300,"*"&amp;A69&amp;"*",'Przypadki testowe'!$K$2:$K$300,"Zaliczony"))</f>
        <v/>
      </c>
      <c r="G69" s="15" t="str">
        <f>IF(A69="","",COUNTIFS('Przypadki testowe'!$C$2:$C$300,"*"&amp;A69&amp;"*",'Przypadki testowe'!$K$2:$K$300,"Niezaliczony"))</f>
        <v/>
      </c>
      <c r="H69" s="15" t="str">
        <f>IF(A69="","",IF(E69&gt;0,"Pokryte","BRAK"))</f>
        <v/>
      </c>
    </row>
    <row r="70" spans="5:8">
      <c r="E70" s="15" t="str">
        <f>IF(A70="","",COUNTIF('Przypadki testowe'!$C$2:$C$300,"*"&amp;A70&amp;"*"))</f>
        <v/>
      </c>
      <c r="F70" s="15" t="str">
        <f>IF(A70="","",COUNTIFS('Przypadki testowe'!$C$2:$C$300,"*"&amp;A70&amp;"*",'Przypadki testowe'!$K$2:$K$300,"Zaliczony"))</f>
        <v/>
      </c>
      <c r="G70" s="15" t="str">
        <f>IF(A70="","",COUNTIFS('Przypadki testowe'!$C$2:$C$300,"*"&amp;A70&amp;"*",'Przypadki testowe'!$K$2:$K$300,"Niezaliczony"))</f>
        <v/>
      </c>
      <c r="H70" s="15" t="str">
        <f>IF(A70="","",IF(E70&gt;0,"Pokryte","BRAK"))</f>
        <v/>
      </c>
    </row>
    <row r="71" spans="5:8">
      <c r="E71" s="15" t="str">
        <f>IF(A71="","",COUNTIF('Przypadki testowe'!$C$2:$C$300,"*"&amp;A71&amp;"*"))</f>
        <v/>
      </c>
      <c r="F71" s="15" t="str">
        <f>IF(A71="","",COUNTIFS('Przypadki testowe'!$C$2:$C$300,"*"&amp;A71&amp;"*",'Przypadki testowe'!$K$2:$K$300,"Zaliczony"))</f>
        <v/>
      </c>
      <c r="G71" s="15" t="str">
        <f>IF(A71="","",COUNTIFS('Przypadki testowe'!$C$2:$C$300,"*"&amp;A71&amp;"*",'Przypadki testowe'!$K$2:$K$300,"Niezaliczony"))</f>
        <v/>
      </c>
      <c r="H71" s="15" t="str">
        <f>IF(A71="","",IF(E71&gt;0,"Pokryte","BRAK"))</f>
        <v/>
      </c>
    </row>
    <row r="72" spans="5:8">
      <c r="E72" s="15" t="str">
        <f>IF(A72="","",COUNTIF('Przypadki testowe'!$C$2:$C$300,"*"&amp;A72&amp;"*"))</f>
        <v/>
      </c>
      <c r="F72" s="15" t="str">
        <f>IF(A72="","",COUNTIFS('Przypadki testowe'!$C$2:$C$300,"*"&amp;A72&amp;"*",'Przypadki testowe'!$K$2:$K$300,"Zaliczony"))</f>
        <v/>
      </c>
      <c r="G72" s="15" t="str">
        <f>IF(A72="","",COUNTIFS('Przypadki testowe'!$C$2:$C$300,"*"&amp;A72&amp;"*",'Przypadki testowe'!$K$2:$K$300,"Niezaliczony"))</f>
        <v/>
      </c>
      <c r="H72" s="15" t="str">
        <f>IF(A72="","",IF(E72&gt;0,"Pokryte","BRAK"))</f>
        <v/>
      </c>
    </row>
    <row r="73" spans="5:8">
      <c r="E73" s="15" t="str">
        <f>IF(A73="","",COUNTIF('Przypadki testowe'!$C$2:$C$300,"*"&amp;A73&amp;"*"))</f>
        <v/>
      </c>
      <c r="F73" s="15" t="str">
        <f>IF(A73="","",COUNTIFS('Przypadki testowe'!$C$2:$C$300,"*"&amp;A73&amp;"*",'Przypadki testowe'!$K$2:$K$300,"Zaliczony"))</f>
        <v/>
      </c>
      <c r="G73" s="15" t="str">
        <f>IF(A73="","",COUNTIFS('Przypadki testowe'!$C$2:$C$300,"*"&amp;A73&amp;"*",'Przypadki testowe'!$K$2:$K$300,"Niezaliczony"))</f>
        <v/>
      </c>
      <c r="H73" s="15" t="str">
        <f>IF(A73="","",IF(E73&gt;0,"Pokryte","BRAK"))</f>
        <v/>
      </c>
    </row>
    <row r="74" spans="5:8">
      <c r="E74" s="15" t="str">
        <f>IF(A74="","",COUNTIF('Przypadki testowe'!$C$2:$C$300,"*"&amp;A74&amp;"*"))</f>
        <v/>
      </c>
      <c r="F74" s="15" t="str">
        <f>IF(A74="","",COUNTIFS('Przypadki testowe'!$C$2:$C$300,"*"&amp;A74&amp;"*",'Przypadki testowe'!$K$2:$K$300,"Zaliczony"))</f>
        <v/>
      </c>
      <c r="G74" s="15" t="str">
        <f>IF(A74="","",COUNTIFS('Przypadki testowe'!$C$2:$C$300,"*"&amp;A74&amp;"*",'Przypadki testowe'!$K$2:$K$300,"Niezaliczony"))</f>
        <v/>
      </c>
      <c r="H74" s="15" t="str">
        <f>IF(A74="","",IF(E74&gt;0,"Pokryte","BRAK"))</f>
        <v/>
      </c>
    </row>
    <row r="75" spans="5:8">
      <c r="E75" s="15" t="str">
        <f>IF(A75="","",COUNTIF('Przypadki testowe'!$C$2:$C$300,"*"&amp;A75&amp;"*"))</f>
        <v/>
      </c>
      <c r="F75" s="15" t="str">
        <f>IF(A75="","",COUNTIFS('Przypadki testowe'!$C$2:$C$300,"*"&amp;A75&amp;"*",'Przypadki testowe'!$K$2:$K$300,"Zaliczony"))</f>
        <v/>
      </c>
      <c r="G75" s="15" t="str">
        <f>IF(A75="","",COUNTIFS('Przypadki testowe'!$C$2:$C$300,"*"&amp;A75&amp;"*",'Przypadki testowe'!$K$2:$K$300,"Niezaliczony"))</f>
        <v/>
      </c>
      <c r="H75" s="15" t="str">
        <f>IF(A75="","",IF(E75&gt;0,"Pokryte","BRAK"))</f>
        <v/>
      </c>
    </row>
    <row r="76" spans="5:8">
      <c r="E76" s="15" t="str">
        <f>IF(A76="","",COUNTIF('Przypadki testowe'!$C$2:$C$300,"*"&amp;A76&amp;"*"))</f>
        <v/>
      </c>
      <c r="F76" s="15" t="str">
        <f>IF(A76="","",COUNTIFS('Przypadki testowe'!$C$2:$C$300,"*"&amp;A76&amp;"*",'Przypadki testowe'!$K$2:$K$300,"Zaliczony"))</f>
        <v/>
      </c>
      <c r="G76" s="15" t="str">
        <f>IF(A76="","",COUNTIFS('Przypadki testowe'!$C$2:$C$300,"*"&amp;A76&amp;"*",'Przypadki testowe'!$K$2:$K$300,"Niezaliczony"))</f>
        <v/>
      </c>
      <c r="H76" s="15" t="str">
        <f>IF(A76="","",IF(E76&gt;0,"Pokryte","BRAK"))</f>
        <v/>
      </c>
    </row>
    <row r="77" spans="5:8">
      <c r="E77" s="15" t="str">
        <f>IF(A77="","",COUNTIF('Przypadki testowe'!$C$2:$C$300,"*"&amp;A77&amp;"*"))</f>
        <v/>
      </c>
      <c r="F77" s="15" t="str">
        <f>IF(A77="","",COUNTIFS('Przypadki testowe'!$C$2:$C$300,"*"&amp;A77&amp;"*",'Przypadki testowe'!$K$2:$K$300,"Zaliczony"))</f>
        <v/>
      </c>
      <c r="G77" s="15" t="str">
        <f>IF(A77="","",COUNTIFS('Przypadki testowe'!$C$2:$C$300,"*"&amp;A77&amp;"*",'Przypadki testowe'!$K$2:$K$300,"Niezaliczony"))</f>
        <v/>
      </c>
      <c r="H77" s="15" t="str">
        <f>IF(A77="","",IF(E77&gt;0,"Pokryte","BRAK"))</f>
        <v/>
      </c>
    </row>
    <row r="78" spans="5:8">
      <c r="E78" s="15" t="str">
        <f>IF(A78="","",COUNTIF('Przypadki testowe'!$C$2:$C$300,"*"&amp;A78&amp;"*"))</f>
        <v/>
      </c>
      <c r="F78" s="15" t="str">
        <f>IF(A78="","",COUNTIFS('Przypadki testowe'!$C$2:$C$300,"*"&amp;A78&amp;"*",'Przypadki testowe'!$K$2:$K$300,"Zaliczony"))</f>
        <v/>
      </c>
      <c r="G78" s="15" t="str">
        <f>IF(A78="","",COUNTIFS('Przypadki testowe'!$C$2:$C$300,"*"&amp;A78&amp;"*",'Przypadki testowe'!$K$2:$K$300,"Niezaliczony"))</f>
        <v/>
      </c>
      <c r="H78" s="15" t="str">
        <f>IF(A78="","",IF(E78&gt;0,"Pokryte","BRAK"))</f>
        <v/>
      </c>
    </row>
    <row r="79" spans="5:8">
      <c r="E79" s="15" t="str">
        <f>IF(A79="","",COUNTIF('Przypadki testowe'!$C$2:$C$300,"*"&amp;A79&amp;"*"))</f>
        <v/>
      </c>
      <c r="F79" s="15" t="str">
        <f>IF(A79="","",COUNTIFS('Przypadki testowe'!$C$2:$C$300,"*"&amp;A79&amp;"*",'Przypadki testowe'!$K$2:$K$300,"Zaliczony"))</f>
        <v/>
      </c>
      <c r="G79" s="15" t="str">
        <f>IF(A79="","",COUNTIFS('Przypadki testowe'!$C$2:$C$300,"*"&amp;A79&amp;"*",'Przypadki testowe'!$K$2:$K$300,"Niezaliczony"))</f>
        <v/>
      </c>
      <c r="H79" s="15" t="str">
        <f>IF(A79="","",IF(E79&gt;0,"Pokryte","BRAK"))</f>
        <v/>
      </c>
    </row>
    <row r="80" spans="5:8">
      <c r="E80" s="15" t="str">
        <f>IF(A80="","",COUNTIF('Przypadki testowe'!$C$2:$C$300,"*"&amp;A80&amp;"*"))</f>
        <v/>
      </c>
      <c r="F80" s="15" t="str">
        <f>IF(A80="","",COUNTIFS('Przypadki testowe'!$C$2:$C$300,"*"&amp;A80&amp;"*",'Przypadki testowe'!$K$2:$K$300,"Zaliczony"))</f>
        <v/>
      </c>
      <c r="G80" s="15" t="str">
        <f>IF(A80="","",COUNTIFS('Przypadki testowe'!$C$2:$C$300,"*"&amp;A80&amp;"*",'Przypadki testowe'!$K$2:$K$300,"Niezaliczony"))</f>
        <v/>
      </c>
      <c r="H80" s="15" t="str">
        <f>IF(A80="","",IF(E80&gt;0,"Pokryte","BRAK"))</f>
        <v/>
      </c>
    </row>
    <row r="81" spans="5:8">
      <c r="E81" s="15" t="str">
        <f>IF(A81="","",COUNTIF('Przypadki testowe'!$C$2:$C$300,"*"&amp;A81&amp;"*"))</f>
        <v/>
      </c>
      <c r="F81" s="15" t="str">
        <f>IF(A81="","",COUNTIFS('Przypadki testowe'!$C$2:$C$300,"*"&amp;A81&amp;"*",'Przypadki testowe'!$K$2:$K$300,"Zaliczony"))</f>
        <v/>
      </c>
      <c r="G81" s="15" t="str">
        <f>IF(A81="","",COUNTIFS('Przypadki testowe'!$C$2:$C$300,"*"&amp;A81&amp;"*",'Przypadki testowe'!$K$2:$K$300,"Niezaliczony"))</f>
        <v/>
      </c>
      <c r="H81" s="15" t="str">
        <f>IF(A81="","",IF(E81&gt;0,"Pokryte","BRAK"))</f>
        <v/>
      </c>
    </row>
    <row r="82" spans="5:8">
      <c r="E82" s="15" t="str">
        <f>IF(A82="","",COUNTIF('Przypadki testowe'!$C$2:$C$300,"*"&amp;A82&amp;"*"))</f>
        <v/>
      </c>
      <c r="F82" s="15" t="str">
        <f>IF(A82="","",COUNTIFS('Przypadki testowe'!$C$2:$C$300,"*"&amp;A82&amp;"*",'Przypadki testowe'!$K$2:$K$300,"Zaliczony"))</f>
        <v/>
      </c>
      <c r="G82" s="15" t="str">
        <f>IF(A82="","",COUNTIFS('Przypadki testowe'!$C$2:$C$300,"*"&amp;A82&amp;"*",'Przypadki testowe'!$K$2:$K$300,"Niezaliczony"))</f>
        <v/>
      </c>
      <c r="H82" s="15" t="str">
        <f>IF(A82="","",IF(E82&gt;0,"Pokryte","BRAK"))</f>
        <v/>
      </c>
    </row>
    <row r="83" spans="5:8">
      <c r="E83" s="15" t="str">
        <f>IF(A83="","",COUNTIF('Przypadki testowe'!$C$2:$C$300,"*"&amp;A83&amp;"*"))</f>
        <v/>
      </c>
      <c r="F83" s="15" t="str">
        <f>IF(A83="","",COUNTIFS('Przypadki testowe'!$C$2:$C$300,"*"&amp;A83&amp;"*",'Przypadki testowe'!$K$2:$K$300,"Zaliczony"))</f>
        <v/>
      </c>
      <c r="G83" s="15" t="str">
        <f>IF(A83="","",COUNTIFS('Przypadki testowe'!$C$2:$C$300,"*"&amp;A83&amp;"*",'Przypadki testowe'!$K$2:$K$300,"Niezaliczony"))</f>
        <v/>
      </c>
      <c r="H83" s="15" t="str">
        <f>IF(A83="","",IF(E83&gt;0,"Pokryte","BRAK"))</f>
        <v/>
      </c>
    </row>
    <row r="84" spans="5:8">
      <c r="E84" s="15" t="str">
        <f>IF(A84="","",COUNTIF('Przypadki testowe'!$C$2:$C$300,"*"&amp;A84&amp;"*"))</f>
        <v/>
      </c>
      <c r="F84" s="15" t="str">
        <f>IF(A84="","",COUNTIFS('Przypadki testowe'!$C$2:$C$300,"*"&amp;A84&amp;"*",'Przypadki testowe'!$K$2:$K$300,"Zaliczony"))</f>
        <v/>
      </c>
      <c r="G84" s="15" t="str">
        <f>IF(A84="","",COUNTIFS('Przypadki testowe'!$C$2:$C$300,"*"&amp;A84&amp;"*",'Przypadki testowe'!$K$2:$K$300,"Niezaliczony"))</f>
        <v/>
      </c>
      <c r="H84" s="15" t="str">
        <f>IF(A84="","",IF(E84&gt;0,"Pokryte","BRAK"))</f>
        <v/>
      </c>
    </row>
    <row r="85" spans="5:8">
      <c r="E85" s="15" t="str">
        <f>IF(A85="","",COUNTIF('Przypadki testowe'!$C$2:$C$300,"*"&amp;A85&amp;"*"))</f>
        <v/>
      </c>
      <c r="F85" s="15" t="str">
        <f>IF(A85="","",COUNTIFS('Przypadki testowe'!$C$2:$C$300,"*"&amp;A85&amp;"*",'Przypadki testowe'!$K$2:$K$300,"Zaliczony"))</f>
        <v/>
      </c>
      <c r="G85" s="15" t="str">
        <f>IF(A85="","",COUNTIFS('Przypadki testowe'!$C$2:$C$300,"*"&amp;A85&amp;"*",'Przypadki testowe'!$K$2:$K$300,"Niezaliczony"))</f>
        <v/>
      </c>
      <c r="H85" s="15" t="str">
        <f>IF(A85="","",IF(E85&gt;0,"Pokryte","BRAK"))</f>
        <v/>
      </c>
    </row>
    <row r="86" spans="5:8">
      <c r="E86" s="15" t="str">
        <f>IF(A86="","",COUNTIF('Przypadki testowe'!$C$2:$C$300,"*"&amp;A86&amp;"*"))</f>
        <v/>
      </c>
      <c r="F86" s="15" t="str">
        <f>IF(A86="","",COUNTIFS('Przypadki testowe'!$C$2:$C$300,"*"&amp;A86&amp;"*",'Przypadki testowe'!$K$2:$K$300,"Zaliczony"))</f>
        <v/>
      </c>
      <c r="G86" s="15" t="str">
        <f>IF(A86="","",COUNTIFS('Przypadki testowe'!$C$2:$C$300,"*"&amp;A86&amp;"*",'Przypadki testowe'!$K$2:$K$300,"Niezaliczony"))</f>
        <v/>
      </c>
      <c r="H86" s="15" t="str">
        <f>IF(A86="","",IF(E86&gt;0,"Pokryte","BRAK"))</f>
        <v/>
      </c>
    </row>
    <row r="87" spans="5:8">
      <c r="E87" s="15" t="str">
        <f>IF(A87="","",COUNTIF('Przypadki testowe'!$C$2:$C$300,"*"&amp;A87&amp;"*"))</f>
        <v/>
      </c>
      <c r="F87" s="15" t="str">
        <f>IF(A87="","",COUNTIFS('Przypadki testowe'!$C$2:$C$300,"*"&amp;A87&amp;"*",'Przypadki testowe'!$K$2:$K$300,"Zaliczony"))</f>
        <v/>
      </c>
      <c r="G87" s="15" t="str">
        <f>IF(A87="","",COUNTIFS('Przypadki testowe'!$C$2:$C$300,"*"&amp;A87&amp;"*",'Przypadki testowe'!$K$2:$K$300,"Niezaliczony"))</f>
        <v/>
      </c>
      <c r="H87" s="15" t="str">
        <f>IF(A87="","",IF(E87&gt;0,"Pokryte","BRAK"))</f>
        <v/>
      </c>
    </row>
    <row r="88" spans="5:8">
      <c r="E88" s="15" t="str">
        <f>IF(A88="","",COUNTIF('Przypadki testowe'!$C$2:$C$300,"*"&amp;A88&amp;"*"))</f>
        <v/>
      </c>
      <c r="F88" s="15" t="str">
        <f>IF(A88="","",COUNTIFS('Przypadki testowe'!$C$2:$C$300,"*"&amp;A88&amp;"*",'Przypadki testowe'!$K$2:$K$300,"Zaliczony"))</f>
        <v/>
      </c>
      <c r="G88" s="15" t="str">
        <f>IF(A88="","",COUNTIFS('Przypadki testowe'!$C$2:$C$300,"*"&amp;A88&amp;"*",'Przypadki testowe'!$K$2:$K$300,"Niezaliczony"))</f>
        <v/>
      </c>
      <c r="H88" s="15" t="str">
        <f>IF(A88="","",IF(E88&gt;0,"Pokryte","BRAK"))</f>
        <v/>
      </c>
    </row>
    <row r="89" spans="5:8">
      <c r="E89" s="15" t="str">
        <f>IF(A89="","",COUNTIF('Przypadki testowe'!$C$2:$C$300,"*"&amp;A89&amp;"*"))</f>
        <v/>
      </c>
      <c r="F89" s="15" t="str">
        <f>IF(A89="","",COUNTIFS('Przypadki testowe'!$C$2:$C$300,"*"&amp;A89&amp;"*",'Przypadki testowe'!$K$2:$K$300,"Zaliczony"))</f>
        <v/>
      </c>
      <c r="G89" s="15" t="str">
        <f>IF(A89="","",COUNTIFS('Przypadki testowe'!$C$2:$C$300,"*"&amp;A89&amp;"*",'Przypadki testowe'!$K$2:$K$300,"Niezaliczony"))</f>
        <v/>
      </c>
      <c r="H89" s="15" t="str">
        <f>IF(A89="","",IF(E89&gt;0,"Pokryte","BRAK"))</f>
        <v/>
      </c>
    </row>
    <row r="90" spans="5:8">
      <c r="E90" s="15" t="str">
        <f>IF(A90="","",COUNTIF('Przypadki testowe'!$C$2:$C$300,"*"&amp;A90&amp;"*"))</f>
        <v/>
      </c>
      <c r="F90" s="15" t="str">
        <f>IF(A90="","",COUNTIFS('Przypadki testowe'!$C$2:$C$300,"*"&amp;A90&amp;"*",'Przypadki testowe'!$K$2:$K$300,"Zaliczony"))</f>
        <v/>
      </c>
      <c r="G90" s="15" t="str">
        <f>IF(A90="","",COUNTIFS('Przypadki testowe'!$C$2:$C$300,"*"&amp;A90&amp;"*",'Przypadki testowe'!$K$2:$K$300,"Niezaliczony"))</f>
        <v/>
      </c>
      <c r="H90" s="15" t="str">
        <f>IF(A90="","",IF(E90&gt;0,"Pokryte","BRAK"))</f>
        <v/>
      </c>
    </row>
    <row r="91" spans="5:8">
      <c r="E91" s="15" t="str">
        <f>IF(A91="","",COUNTIF('Przypadki testowe'!$C$2:$C$300,"*"&amp;A91&amp;"*"))</f>
        <v/>
      </c>
      <c r="F91" s="15" t="str">
        <f>IF(A91="","",COUNTIFS('Przypadki testowe'!$C$2:$C$300,"*"&amp;A91&amp;"*",'Przypadki testowe'!$K$2:$K$300,"Zaliczony"))</f>
        <v/>
      </c>
      <c r="G91" s="15" t="str">
        <f>IF(A91="","",COUNTIFS('Przypadki testowe'!$C$2:$C$300,"*"&amp;A91&amp;"*",'Przypadki testowe'!$K$2:$K$300,"Niezaliczony"))</f>
        <v/>
      </c>
      <c r="H91" s="15" t="str">
        <f>IF(A91="","",IF(E91&gt;0,"Pokryte","BRAK"))</f>
        <v/>
      </c>
    </row>
    <row r="92" spans="5:8">
      <c r="E92" s="15" t="str">
        <f>IF(A92="","",COUNTIF('Przypadki testowe'!$C$2:$C$300,"*"&amp;A92&amp;"*"))</f>
        <v/>
      </c>
      <c r="F92" s="15" t="str">
        <f>IF(A92="","",COUNTIFS('Przypadki testowe'!$C$2:$C$300,"*"&amp;A92&amp;"*",'Przypadki testowe'!$K$2:$K$300,"Zaliczony"))</f>
        <v/>
      </c>
      <c r="G92" s="15" t="str">
        <f>IF(A92="","",COUNTIFS('Przypadki testowe'!$C$2:$C$300,"*"&amp;A92&amp;"*",'Przypadki testowe'!$K$2:$K$300,"Niezaliczony"))</f>
        <v/>
      </c>
      <c r="H92" s="15" t="str">
        <f>IF(A92="","",IF(E92&gt;0,"Pokryte","BRAK"))</f>
        <v/>
      </c>
    </row>
    <row r="93" spans="5:8">
      <c r="E93" s="15" t="str">
        <f>IF(A93="","",COUNTIF('Przypadki testowe'!$C$2:$C$300,"*"&amp;A93&amp;"*"))</f>
        <v/>
      </c>
      <c r="F93" s="15" t="str">
        <f>IF(A93="","",COUNTIFS('Przypadki testowe'!$C$2:$C$300,"*"&amp;A93&amp;"*",'Przypadki testowe'!$K$2:$K$300,"Zaliczony"))</f>
        <v/>
      </c>
      <c r="G93" s="15" t="str">
        <f>IF(A93="","",COUNTIFS('Przypadki testowe'!$C$2:$C$300,"*"&amp;A93&amp;"*",'Przypadki testowe'!$K$2:$K$300,"Niezaliczony"))</f>
        <v/>
      </c>
      <c r="H93" s="15" t="str">
        <f>IF(A93="","",IF(E93&gt;0,"Pokryte","BRAK"))</f>
        <v/>
      </c>
    </row>
    <row r="94" spans="5:8">
      <c r="E94" s="15" t="str">
        <f>IF(A94="","",COUNTIF('Przypadki testowe'!$C$2:$C$300,"*"&amp;A94&amp;"*"))</f>
        <v/>
      </c>
      <c r="F94" s="15" t="str">
        <f>IF(A94="","",COUNTIFS('Przypadki testowe'!$C$2:$C$300,"*"&amp;A94&amp;"*",'Przypadki testowe'!$K$2:$K$300,"Zaliczony"))</f>
        <v/>
      </c>
      <c r="G94" s="15" t="str">
        <f>IF(A94="","",COUNTIFS('Przypadki testowe'!$C$2:$C$300,"*"&amp;A94&amp;"*",'Przypadki testowe'!$K$2:$K$300,"Niezaliczony"))</f>
        <v/>
      </c>
      <c r="H94" s="15" t="str">
        <f>IF(A94="","",IF(E94&gt;0,"Pokryte","BRAK"))</f>
        <v/>
      </c>
    </row>
    <row r="95" spans="5:8">
      <c r="E95" s="15" t="str">
        <f>IF(A95="","",COUNTIF('Przypadki testowe'!$C$2:$C$300,"*"&amp;A95&amp;"*"))</f>
        <v/>
      </c>
      <c r="F95" s="15" t="str">
        <f>IF(A95="","",COUNTIFS('Przypadki testowe'!$C$2:$C$300,"*"&amp;A95&amp;"*",'Przypadki testowe'!$K$2:$K$300,"Zaliczony"))</f>
        <v/>
      </c>
      <c r="G95" s="15" t="str">
        <f>IF(A95="","",COUNTIFS('Przypadki testowe'!$C$2:$C$300,"*"&amp;A95&amp;"*",'Przypadki testowe'!$K$2:$K$300,"Niezaliczony"))</f>
        <v/>
      </c>
      <c r="H95" s="15" t="str">
        <f>IF(A95="","",IF(E95&gt;0,"Pokryte","BRAK"))</f>
        <v/>
      </c>
    </row>
    <row r="96" spans="5:8">
      <c r="E96" s="15" t="str">
        <f>IF(A96="","",COUNTIF('Przypadki testowe'!$C$2:$C$300,"*"&amp;A96&amp;"*"))</f>
        <v/>
      </c>
      <c r="F96" s="15" t="str">
        <f>IF(A96="","",COUNTIFS('Przypadki testowe'!$C$2:$C$300,"*"&amp;A96&amp;"*",'Przypadki testowe'!$K$2:$K$300,"Zaliczony"))</f>
        <v/>
      </c>
      <c r="G96" s="15" t="str">
        <f>IF(A96="","",COUNTIFS('Przypadki testowe'!$C$2:$C$300,"*"&amp;A96&amp;"*",'Przypadki testowe'!$K$2:$K$300,"Niezaliczony"))</f>
        <v/>
      </c>
      <c r="H96" s="15" t="str">
        <f>IF(A96="","",IF(E96&gt;0,"Pokryte","BRAK"))</f>
        <v/>
      </c>
    </row>
    <row r="97" spans="5:8">
      <c r="E97" s="15" t="str">
        <f>IF(A97="","",COUNTIF('Przypadki testowe'!$C$2:$C$300,"*"&amp;A97&amp;"*"))</f>
        <v/>
      </c>
      <c r="F97" s="15" t="str">
        <f>IF(A97="","",COUNTIFS('Przypadki testowe'!$C$2:$C$300,"*"&amp;A97&amp;"*",'Przypadki testowe'!$K$2:$K$300,"Zaliczony"))</f>
        <v/>
      </c>
      <c r="G97" s="15" t="str">
        <f>IF(A97="","",COUNTIFS('Przypadki testowe'!$C$2:$C$300,"*"&amp;A97&amp;"*",'Przypadki testowe'!$K$2:$K$300,"Niezaliczony"))</f>
        <v/>
      </c>
      <c r="H97" s="15" t="str">
        <f>IF(A97="","",IF(E97&gt;0,"Pokryte","BRAK"))</f>
        <v/>
      </c>
    </row>
    <row r="98" spans="5:8">
      <c r="E98" s="15" t="str">
        <f>IF(A98="","",COUNTIF('Przypadki testowe'!$C$2:$C$300,"*"&amp;A98&amp;"*"))</f>
        <v/>
      </c>
      <c r="F98" s="15" t="str">
        <f>IF(A98="","",COUNTIFS('Przypadki testowe'!$C$2:$C$300,"*"&amp;A98&amp;"*",'Przypadki testowe'!$K$2:$K$300,"Zaliczony"))</f>
        <v/>
      </c>
      <c r="G98" s="15" t="str">
        <f>IF(A98="","",COUNTIFS('Przypadki testowe'!$C$2:$C$300,"*"&amp;A98&amp;"*",'Przypadki testowe'!$K$2:$K$300,"Niezaliczony"))</f>
        <v/>
      </c>
      <c r="H98" s="15" t="str">
        <f>IF(A98="","",IF(E98&gt;0,"Pokryte","BRAK"))</f>
        <v/>
      </c>
    </row>
    <row r="99" spans="5:8">
      <c r="E99" s="15" t="str">
        <f>IF(A99="","",COUNTIF('Przypadki testowe'!$C$2:$C$300,"*"&amp;A99&amp;"*"))</f>
        <v/>
      </c>
      <c r="F99" s="15" t="str">
        <f>IF(A99="","",COUNTIFS('Przypadki testowe'!$C$2:$C$300,"*"&amp;A99&amp;"*",'Przypadki testowe'!$K$2:$K$300,"Zaliczony"))</f>
        <v/>
      </c>
      <c r="G99" s="15" t="str">
        <f>IF(A99="","",COUNTIFS('Przypadki testowe'!$C$2:$C$300,"*"&amp;A99&amp;"*",'Przypadki testowe'!$K$2:$K$300,"Niezaliczony"))</f>
        <v/>
      </c>
      <c r="H99" s="15" t="str">
        <f>IF(A99="","",IF(E99&gt;0,"Pokryte","BRAK"))</f>
        <v/>
      </c>
    </row>
    <row r="100" spans="5:8">
      <c r="E100" s="15" t="str">
        <f>IF(A100="","",COUNTIF('Przypadki testowe'!$C$2:$C$300,"*"&amp;A100&amp;"*"))</f>
        <v/>
      </c>
      <c r="F100" s="15" t="str">
        <f>IF(A100="","",COUNTIFS('Przypadki testowe'!$C$2:$C$300,"*"&amp;A100&amp;"*",'Przypadki testowe'!$K$2:$K$300,"Zaliczony"))</f>
        <v/>
      </c>
      <c r="G100" s="15" t="str">
        <f>IF(A100="","",COUNTIFS('Przypadki testowe'!$C$2:$C$300,"*"&amp;A100&amp;"*",'Przypadki testowe'!$K$2:$K$300,"Niezaliczony"))</f>
        <v/>
      </c>
      <c r="H100" s="15" t="str">
        <f>IF(A100="","",IF(E100&gt;0,"Pokryte","BRAK"))</f>
        <v/>
      </c>
    </row>
    <row r="101" spans="5:8">
      <c r="E101" s="15" t="str">
        <f>IF(A101="","",COUNTIF('Przypadki testowe'!$C$2:$C$300,"*"&amp;A101&amp;"*"))</f>
        <v/>
      </c>
      <c r="F101" s="15" t="str">
        <f>IF(A101="","",COUNTIFS('Przypadki testowe'!$C$2:$C$300,"*"&amp;A101&amp;"*",'Przypadki testowe'!$K$2:$K$300,"Zaliczony"))</f>
        <v/>
      </c>
      <c r="G101" s="15" t="str">
        <f>IF(A101="","",COUNTIFS('Przypadki testowe'!$C$2:$C$300,"*"&amp;A101&amp;"*",'Przypadki testowe'!$K$2:$K$300,"Niezaliczony"))</f>
        <v/>
      </c>
      <c r="H101" s="15" t="str">
        <f>IF(A101="","",IF(E101&gt;0,"Pokryte","BRAK"))</f>
        <v/>
      </c>
    </row>
    <row r="102" spans="5:8">
      <c r="E102" s="15" t="str">
        <f>IF(A102="","",COUNTIF('Przypadki testowe'!$C$2:$C$300,"*"&amp;A102&amp;"*"))</f>
        <v/>
      </c>
      <c r="F102" s="15" t="str">
        <f>IF(A102="","",COUNTIFS('Przypadki testowe'!$C$2:$C$300,"*"&amp;A102&amp;"*",'Przypadki testowe'!$K$2:$K$300,"Zaliczony"))</f>
        <v/>
      </c>
      <c r="G102" s="15" t="str">
        <f>IF(A102="","",COUNTIFS('Przypadki testowe'!$C$2:$C$300,"*"&amp;A102&amp;"*",'Przypadki testowe'!$K$2:$K$300,"Niezaliczony"))</f>
        <v/>
      </c>
      <c r="H102" s="15" t="str">
        <f>IF(A102="","",IF(E102&gt;0,"Pokryte","BRAK"))</f>
        <v/>
      </c>
    </row>
    <row r="103" spans="5:8">
      <c r="E103" s="15" t="str">
        <f>IF(A103="","",COUNTIF('Przypadki testowe'!$C$2:$C$300,"*"&amp;A103&amp;"*"))</f>
        <v/>
      </c>
      <c r="F103" s="15" t="str">
        <f>IF(A103="","",COUNTIFS('Przypadki testowe'!$C$2:$C$300,"*"&amp;A103&amp;"*",'Przypadki testowe'!$K$2:$K$300,"Zaliczony"))</f>
        <v/>
      </c>
      <c r="G103" s="15" t="str">
        <f>IF(A103="","",COUNTIFS('Przypadki testowe'!$C$2:$C$300,"*"&amp;A103&amp;"*",'Przypadki testowe'!$K$2:$K$300,"Niezaliczony"))</f>
        <v/>
      </c>
      <c r="H103" s="15" t="str">
        <f>IF(A103="","",IF(E103&gt;0,"Pokryte","BRAK"))</f>
        <v/>
      </c>
    </row>
    <row r="104" spans="5:8">
      <c r="E104" s="15" t="str">
        <f>IF(A104="","",COUNTIF('Przypadki testowe'!$C$2:$C$300,"*"&amp;A104&amp;"*"))</f>
        <v/>
      </c>
      <c r="F104" s="15" t="str">
        <f>IF(A104="","",COUNTIFS('Przypadki testowe'!$C$2:$C$300,"*"&amp;A104&amp;"*",'Przypadki testowe'!$K$2:$K$300,"Zaliczony"))</f>
        <v/>
      </c>
      <c r="G104" s="15" t="str">
        <f>IF(A104="","",COUNTIFS('Przypadki testowe'!$C$2:$C$300,"*"&amp;A104&amp;"*",'Przypadki testowe'!$K$2:$K$300,"Niezaliczony"))</f>
        <v/>
      </c>
      <c r="H104" s="15" t="str">
        <f>IF(A104="","",IF(E104&gt;0,"Pokryte","BRAK"))</f>
        <v/>
      </c>
    </row>
    <row r="105" spans="5:8">
      <c r="E105" s="15" t="str">
        <f>IF(A105="","",COUNTIF('Przypadki testowe'!$C$2:$C$300,"*"&amp;A105&amp;"*"))</f>
        <v/>
      </c>
      <c r="F105" s="15" t="str">
        <f>IF(A105="","",COUNTIFS('Przypadki testowe'!$C$2:$C$300,"*"&amp;A105&amp;"*",'Przypadki testowe'!$K$2:$K$300,"Zaliczony"))</f>
        <v/>
      </c>
      <c r="G105" s="15" t="str">
        <f>IF(A105="","",COUNTIFS('Przypadki testowe'!$C$2:$C$300,"*"&amp;A105&amp;"*",'Przypadki testowe'!$K$2:$K$300,"Niezaliczony"))</f>
        <v/>
      </c>
      <c r="H105" s="15" t="str">
        <f>IF(A105="","",IF(E105&gt;0,"Pokryte","BRAK"))</f>
        <v/>
      </c>
    </row>
    <row r="106" spans="5:8">
      <c r="E106" s="15" t="str">
        <f>IF(A106="","",COUNTIF('Przypadki testowe'!$C$2:$C$300,"*"&amp;A106&amp;"*"))</f>
        <v/>
      </c>
      <c r="F106" s="15" t="str">
        <f>IF(A106="","",COUNTIFS('Przypadki testowe'!$C$2:$C$300,"*"&amp;A106&amp;"*",'Przypadki testowe'!$K$2:$K$300,"Zaliczony"))</f>
        <v/>
      </c>
      <c r="G106" s="15" t="str">
        <f>IF(A106="","",COUNTIFS('Przypadki testowe'!$C$2:$C$300,"*"&amp;A106&amp;"*",'Przypadki testowe'!$K$2:$K$300,"Niezaliczony"))</f>
        <v/>
      </c>
      <c r="H106" s="15" t="str">
        <f>IF(A106="","",IF(E106&gt;0,"Pokryte","BRAK"))</f>
        <v/>
      </c>
    </row>
    <row r="107" spans="5:8">
      <c r="E107" s="15" t="str">
        <f>IF(A107="","",COUNTIF('Przypadki testowe'!$C$2:$C$300,"*"&amp;A107&amp;"*"))</f>
        <v/>
      </c>
      <c r="F107" s="15" t="str">
        <f>IF(A107="","",COUNTIFS('Przypadki testowe'!$C$2:$C$300,"*"&amp;A107&amp;"*",'Przypadki testowe'!$K$2:$K$300,"Zaliczony"))</f>
        <v/>
      </c>
      <c r="G107" s="15" t="str">
        <f>IF(A107="","",COUNTIFS('Przypadki testowe'!$C$2:$C$300,"*"&amp;A107&amp;"*",'Przypadki testowe'!$K$2:$K$300,"Niezaliczony"))</f>
        <v/>
      </c>
      <c r="H107" s="15" t="str">
        <f>IF(A107="","",IF(E107&gt;0,"Pokryte","BRAK"))</f>
        <v/>
      </c>
    </row>
    <row r="108" spans="5:8">
      <c r="E108" s="15" t="str">
        <f>IF(A108="","",COUNTIF('Przypadki testowe'!$C$2:$C$300,"*"&amp;A108&amp;"*"))</f>
        <v/>
      </c>
      <c r="F108" s="15" t="str">
        <f>IF(A108="","",COUNTIFS('Przypadki testowe'!$C$2:$C$300,"*"&amp;A108&amp;"*",'Przypadki testowe'!$K$2:$K$300,"Zaliczony"))</f>
        <v/>
      </c>
      <c r="G108" s="15" t="str">
        <f>IF(A108="","",COUNTIFS('Przypadki testowe'!$C$2:$C$300,"*"&amp;A108&amp;"*",'Przypadki testowe'!$K$2:$K$300,"Niezaliczony"))</f>
        <v/>
      </c>
      <c r="H108" s="15" t="str">
        <f>IF(A108="","",IF(E108&gt;0,"Pokryte","BRAK"))</f>
        <v/>
      </c>
    </row>
    <row r="109" spans="5:8">
      <c r="E109" s="15" t="str">
        <f>IF(A109="","",COUNTIF('Przypadki testowe'!$C$2:$C$300,"*"&amp;A109&amp;"*"))</f>
        <v/>
      </c>
      <c r="F109" s="15" t="str">
        <f>IF(A109="","",COUNTIFS('Przypadki testowe'!$C$2:$C$300,"*"&amp;A109&amp;"*",'Przypadki testowe'!$K$2:$K$300,"Zaliczony"))</f>
        <v/>
      </c>
      <c r="G109" s="15" t="str">
        <f>IF(A109="","",COUNTIFS('Przypadki testowe'!$C$2:$C$300,"*"&amp;A109&amp;"*",'Przypadki testowe'!$K$2:$K$300,"Niezaliczony"))</f>
        <v/>
      </c>
      <c r="H109" s="15" t="str">
        <f>IF(A109="","",IF(E109&gt;0,"Pokryte","BRAK"))</f>
        <v/>
      </c>
    </row>
    <row r="110" spans="5:8">
      <c r="E110" s="15" t="str">
        <f>IF(A110="","",COUNTIF('Przypadki testowe'!$C$2:$C$300,"*"&amp;A110&amp;"*"))</f>
        <v/>
      </c>
      <c r="F110" s="15" t="str">
        <f>IF(A110="","",COUNTIFS('Przypadki testowe'!$C$2:$C$300,"*"&amp;A110&amp;"*",'Przypadki testowe'!$K$2:$K$300,"Zaliczony"))</f>
        <v/>
      </c>
      <c r="G110" s="15" t="str">
        <f>IF(A110="","",COUNTIFS('Przypadki testowe'!$C$2:$C$300,"*"&amp;A110&amp;"*",'Przypadki testowe'!$K$2:$K$300,"Niezaliczony"))</f>
        <v/>
      </c>
      <c r="H110" s="15" t="str">
        <f>IF(A110="","",IF(E110&gt;0,"Pokryte","BRAK"))</f>
        <v/>
      </c>
    </row>
    <row r="111" spans="5:8">
      <c r="E111" s="15" t="str">
        <f>IF(A111="","",COUNTIF('Przypadki testowe'!$C$2:$C$300,"*"&amp;A111&amp;"*"))</f>
        <v/>
      </c>
      <c r="F111" s="15" t="str">
        <f>IF(A111="","",COUNTIFS('Przypadki testowe'!$C$2:$C$300,"*"&amp;A111&amp;"*",'Przypadki testowe'!$K$2:$K$300,"Zaliczony"))</f>
        <v/>
      </c>
      <c r="G111" s="15" t="str">
        <f>IF(A111="","",COUNTIFS('Przypadki testowe'!$C$2:$C$300,"*"&amp;A111&amp;"*",'Przypadki testowe'!$K$2:$K$300,"Niezaliczony"))</f>
        <v/>
      </c>
      <c r="H111" s="15" t="str">
        <f>IF(A111="","",IF(E111&gt;0,"Pokryte","BRAK"))</f>
        <v/>
      </c>
    </row>
    <row r="112" spans="5:8">
      <c r="E112" s="15" t="str">
        <f>IF(A112="","",COUNTIF('Przypadki testowe'!$C$2:$C$300,"*"&amp;A112&amp;"*"))</f>
        <v/>
      </c>
      <c r="F112" s="15" t="str">
        <f>IF(A112="","",COUNTIFS('Przypadki testowe'!$C$2:$C$300,"*"&amp;A112&amp;"*",'Przypadki testowe'!$K$2:$K$300,"Zaliczony"))</f>
        <v/>
      </c>
      <c r="G112" s="15" t="str">
        <f>IF(A112="","",COUNTIFS('Przypadki testowe'!$C$2:$C$300,"*"&amp;A112&amp;"*",'Przypadki testowe'!$K$2:$K$300,"Niezaliczony"))</f>
        <v/>
      </c>
      <c r="H112" s="15" t="str">
        <f>IF(A112="","",IF(E112&gt;0,"Pokryte","BRAK"))</f>
        <v/>
      </c>
    </row>
    <row r="113" spans="5:8">
      <c r="E113" s="15" t="str">
        <f>IF(A113="","",COUNTIF('Przypadki testowe'!$C$2:$C$300,"*"&amp;A113&amp;"*"))</f>
        <v/>
      </c>
      <c r="F113" s="15" t="str">
        <f>IF(A113="","",COUNTIFS('Przypadki testowe'!$C$2:$C$300,"*"&amp;A113&amp;"*",'Przypadki testowe'!$K$2:$K$300,"Zaliczony"))</f>
        <v/>
      </c>
      <c r="G113" s="15" t="str">
        <f>IF(A113="","",COUNTIFS('Przypadki testowe'!$C$2:$C$300,"*"&amp;A113&amp;"*",'Przypadki testowe'!$K$2:$K$300,"Niezaliczony"))</f>
        <v/>
      </c>
      <c r="H113" s="15" t="str">
        <f>IF(A113="","",IF(E113&gt;0,"Pokryte","BRAK"))</f>
        <v/>
      </c>
    </row>
    <row r="114" spans="5:8">
      <c r="E114" s="15" t="str">
        <f>IF(A114="","",COUNTIF('Przypadki testowe'!$C$2:$C$300,"*"&amp;A114&amp;"*"))</f>
        <v/>
      </c>
      <c r="F114" s="15" t="str">
        <f>IF(A114="","",COUNTIFS('Przypadki testowe'!$C$2:$C$300,"*"&amp;A114&amp;"*",'Przypadki testowe'!$K$2:$K$300,"Zaliczony"))</f>
        <v/>
      </c>
      <c r="G114" s="15" t="str">
        <f>IF(A114="","",COUNTIFS('Przypadki testowe'!$C$2:$C$300,"*"&amp;A114&amp;"*",'Przypadki testowe'!$K$2:$K$300,"Niezaliczony"))</f>
        <v/>
      </c>
      <c r="H114" s="15" t="str">
        <f>IF(A114="","",IF(E114&gt;0,"Pokryte","BRAK"))</f>
        <v/>
      </c>
    </row>
    <row r="115" spans="5:8">
      <c r="E115" s="15" t="str">
        <f>IF(A115="","",COUNTIF('Przypadki testowe'!$C$2:$C$300,"*"&amp;A115&amp;"*"))</f>
        <v/>
      </c>
      <c r="F115" s="15" t="str">
        <f>IF(A115="","",COUNTIFS('Przypadki testowe'!$C$2:$C$300,"*"&amp;A115&amp;"*",'Przypadki testowe'!$K$2:$K$300,"Zaliczony"))</f>
        <v/>
      </c>
      <c r="G115" s="15" t="str">
        <f>IF(A115="","",COUNTIFS('Przypadki testowe'!$C$2:$C$300,"*"&amp;A115&amp;"*",'Przypadki testowe'!$K$2:$K$300,"Niezaliczony"))</f>
        <v/>
      </c>
      <c r="H115" s="15" t="str">
        <f>IF(A115="","",IF(E115&gt;0,"Pokryte","BRAK"))</f>
        <v/>
      </c>
    </row>
    <row r="116" spans="5:8">
      <c r="E116" s="15" t="str">
        <f>IF(A116="","",COUNTIF('Przypadki testowe'!$C$2:$C$300,"*"&amp;A116&amp;"*"))</f>
        <v/>
      </c>
      <c r="F116" s="15" t="str">
        <f>IF(A116="","",COUNTIFS('Przypadki testowe'!$C$2:$C$300,"*"&amp;A116&amp;"*",'Przypadki testowe'!$K$2:$K$300,"Zaliczony"))</f>
        <v/>
      </c>
      <c r="G116" s="15" t="str">
        <f>IF(A116="","",COUNTIFS('Przypadki testowe'!$C$2:$C$300,"*"&amp;A116&amp;"*",'Przypadki testowe'!$K$2:$K$300,"Niezaliczony"))</f>
        <v/>
      </c>
      <c r="H116" s="15" t="str">
        <f>IF(A116="","",IF(E116&gt;0,"Pokryte","BRAK"))</f>
        <v/>
      </c>
    </row>
    <row r="117" spans="5:8">
      <c r="E117" s="15" t="str">
        <f>IF(A117="","",COUNTIF('Przypadki testowe'!$C$2:$C$300,"*"&amp;A117&amp;"*"))</f>
        <v/>
      </c>
      <c r="F117" s="15" t="str">
        <f>IF(A117="","",COUNTIFS('Przypadki testowe'!$C$2:$C$300,"*"&amp;A117&amp;"*",'Przypadki testowe'!$K$2:$K$300,"Zaliczony"))</f>
        <v/>
      </c>
      <c r="G117" s="15" t="str">
        <f>IF(A117="","",COUNTIFS('Przypadki testowe'!$C$2:$C$300,"*"&amp;A117&amp;"*",'Przypadki testowe'!$K$2:$K$300,"Niezaliczony"))</f>
        <v/>
      </c>
      <c r="H117" s="15" t="str">
        <f>IF(A117="","",IF(E117&gt;0,"Pokryte","BRAK"))</f>
        <v/>
      </c>
    </row>
    <row r="118" spans="5:8">
      <c r="E118" s="15" t="str">
        <f>IF(A118="","",COUNTIF('Przypadki testowe'!$C$2:$C$300,"*"&amp;A118&amp;"*"))</f>
        <v/>
      </c>
      <c r="F118" s="15" t="str">
        <f>IF(A118="","",COUNTIFS('Przypadki testowe'!$C$2:$C$300,"*"&amp;A118&amp;"*",'Przypadki testowe'!$K$2:$K$300,"Zaliczony"))</f>
        <v/>
      </c>
      <c r="G118" s="15" t="str">
        <f>IF(A118="","",COUNTIFS('Przypadki testowe'!$C$2:$C$300,"*"&amp;A118&amp;"*",'Przypadki testowe'!$K$2:$K$300,"Niezaliczony"))</f>
        <v/>
      </c>
      <c r="H118" s="15" t="str">
        <f>IF(A118="","",IF(E118&gt;0,"Pokryte","BRAK"))</f>
        <v/>
      </c>
    </row>
    <row r="119" spans="5:8">
      <c r="E119" s="15" t="str">
        <f>IF(A119="","",COUNTIF('Przypadki testowe'!$C$2:$C$300,"*"&amp;A119&amp;"*"))</f>
        <v/>
      </c>
      <c r="F119" s="15" t="str">
        <f>IF(A119="","",COUNTIFS('Przypadki testowe'!$C$2:$C$300,"*"&amp;A119&amp;"*",'Przypadki testowe'!$K$2:$K$300,"Zaliczony"))</f>
        <v/>
      </c>
      <c r="G119" s="15" t="str">
        <f>IF(A119="","",COUNTIFS('Przypadki testowe'!$C$2:$C$300,"*"&amp;A119&amp;"*",'Przypadki testowe'!$K$2:$K$300,"Niezaliczony"))</f>
        <v/>
      </c>
      <c r="H119" s="15" t="str">
        <f>IF(A119="","",IF(E119&gt;0,"Pokryte","BRAK"))</f>
        <v/>
      </c>
    </row>
    <row r="120" spans="5:8">
      <c r="E120" s="15" t="str">
        <f>IF(A120="","",COUNTIF('Przypadki testowe'!$C$2:$C$300,"*"&amp;A120&amp;"*"))</f>
        <v/>
      </c>
      <c r="F120" s="15" t="str">
        <f>IF(A120="","",COUNTIFS('Przypadki testowe'!$C$2:$C$300,"*"&amp;A120&amp;"*",'Przypadki testowe'!$K$2:$K$300,"Zaliczony"))</f>
        <v/>
      </c>
      <c r="G120" s="15" t="str">
        <f>IF(A120="","",COUNTIFS('Przypadki testowe'!$C$2:$C$300,"*"&amp;A120&amp;"*",'Przypadki testowe'!$K$2:$K$300,"Niezaliczony"))</f>
        <v/>
      </c>
      <c r="H120" s="15" t="str">
        <f>IF(A120="","",IF(E120&gt;0,"Pokryte","BRAK"))</f>
        <v/>
      </c>
    </row>
  </sheetData>
  <autoFilter ref="A1:I1" xr:uid="{00000000-0009-0000-0000-000004000000}"/>
  <dataValidations count="1">
    <dataValidation type="list" showInputMessage="1" showErrorMessage="1" errorTitle="Priorytet" error="Wybierz wartość z listy rozwijanej." promptTitle="Priorytet" prompt="Wybierz z listy" sqref="C2:C300" xr:uid="{00000000-0002-0000-0400-000000000000}">
      <formula1>"Wysoki,Średni,Niski"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1"/>
  <sheetViews>
    <sheetView zoomScaleNormal="100" workbookViewId="0">
      <pane ySplit="10" topLeftCell="A11" activePane="bottomLeft" state="frozen"/>
      <selection pane="bottomLeft" activeCell="E20" sqref="E20"/>
    </sheetView>
  </sheetViews>
  <sheetFormatPr defaultColWidth="8.7109375" defaultRowHeight="15"/>
  <cols>
    <col min="1" max="1" width="22" customWidth="1"/>
    <col min="2" max="2" width="40" customWidth="1"/>
    <col min="3" max="3" width="45" customWidth="1"/>
    <col min="4" max="4" width="16" customWidth="1"/>
    <col min="5" max="5" width="20" customWidth="1"/>
    <col min="6" max="6" width="10" customWidth="1"/>
  </cols>
  <sheetData>
    <row r="1" spans="1:6" ht="31.5" customHeight="1">
      <c r="A1" s="7" t="s">
        <v>277</v>
      </c>
      <c r="B1" s="7" t="s">
        <v>278</v>
      </c>
    </row>
    <row r="2" spans="1:6" ht="15" customHeight="1">
      <c r="A2" s="10" t="s">
        <v>279</v>
      </c>
      <c r="B2" s="21" t="s">
        <v>280</v>
      </c>
      <c r="C2" s="27"/>
      <c r="D2" s="27"/>
      <c r="E2" s="27"/>
      <c r="F2" s="28"/>
    </row>
    <row r="3" spans="1:6" ht="30" customHeight="1">
      <c r="A3" s="10" t="s">
        <v>281</v>
      </c>
      <c r="B3" s="21" t="s">
        <v>282</v>
      </c>
      <c r="C3" s="27"/>
      <c r="D3" s="27"/>
      <c r="E3" s="27"/>
      <c r="F3" s="28"/>
    </row>
    <row r="4" spans="1:6" ht="15" customHeight="1">
      <c r="A4" s="10" t="s">
        <v>283</v>
      </c>
      <c r="B4" s="21" t="s">
        <v>284</v>
      </c>
      <c r="C4" s="27"/>
      <c r="D4" s="27"/>
      <c r="E4" s="27"/>
      <c r="F4" s="28"/>
    </row>
    <row r="5" spans="1:6">
      <c r="A5" s="10" t="s">
        <v>285</v>
      </c>
      <c r="B5" s="1" t="s">
        <v>286</v>
      </c>
    </row>
    <row r="6" spans="1:6">
      <c r="A6" s="10" t="s">
        <v>287</v>
      </c>
      <c r="B6" s="1" t="s">
        <v>159</v>
      </c>
    </row>
    <row r="7" spans="1:6">
      <c r="A7" s="10" t="s">
        <v>288</v>
      </c>
      <c r="B7" s="24">
        <v>46311</v>
      </c>
    </row>
    <row r="10" spans="1:6" ht="31.5" customHeight="1">
      <c r="A10" s="7" t="s">
        <v>37</v>
      </c>
      <c r="B10" s="7" t="s">
        <v>289</v>
      </c>
      <c r="C10" s="7" t="s">
        <v>290</v>
      </c>
      <c r="D10" s="7" t="s">
        <v>291</v>
      </c>
      <c r="E10" s="7" t="s">
        <v>292</v>
      </c>
      <c r="F10" s="7" t="s">
        <v>293</v>
      </c>
    </row>
    <row r="11" spans="1:6" ht="41.85" customHeight="1">
      <c r="A11" s="15">
        <v>1</v>
      </c>
      <c r="B11" s="15" t="s">
        <v>294</v>
      </c>
      <c r="C11" s="15" t="s">
        <v>295</v>
      </c>
      <c r="D11" s="15" t="s">
        <v>296</v>
      </c>
      <c r="E11" s="15"/>
      <c r="F11" s="15">
        <v>3</v>
      </c>
    </row>
    <row r="12" spans="1:6" ht="60.75" customHeight="1">
      <c r="A12" s="15">
        <v>2</v>
      </c>
      <c r="B12" s="15" t="s">
        <v>297</v>
      </c>
      <c r="C12" s="15" t="s">
        <v>298</v>
      </c>
      <c r="D12" s="15" t="s">
        <v>296</v>
      </c>
      <c r="E12" s="15"/>
      <c r="F12" s="15">
        <v>3</v>
      </c>
    </row>
    <row r="13" spans="1:6" ht="30.75" customHeight="1">
      <c r="A13" s="15">
        <v>3</v>
      </c>
      <c r="B13" s="15" t="s">
        <v>299</v>
      </c>
      <c r="C13" s="15" t="s">
        <v>300</v>
      </c>
      <c r="D13" s="15" t="s">
        <v>301</v>
      </c>
      <c r="E13" s="15" t="s">
        <v>302</v>
      </c>
      <c r="F13" s="15">
        <v>3</v>
      </c>
    </row>
    <row r="14" spans="1:6" ht="30.75" customHeight="1">
      <c r="A14" s="15">
        <v>4</v>
      </c>
      <c r="B14" s="15" t="s">
        <v>303</v>
      </c>
      <c r="C14" s="15" t="s">
        <v>295</v>
      </c>
      <c r="D14" s="15" t="s">
        <v>296</v>
      </c>
      <c r="E14" s="15"/>
      <c r="F14" s="15">
        <v>3</v>
      </c>
    </row>
    <row r="15" spans="1:6" ht="30.75" customHeight="1">
      <c r="A15" s="15">
        <v>5</v>
      </c>
      <c r="B15" s="15" t="s">
        <v>304</v>
      </c>
      <c r="C15" s="15" t="s">
        <v>295</v>
      </c>
      <c r="D15" s="15" t="s">
        <v>296</v>
      </c>
      <c r="E15" s="15"/>
      <c r="F15" s="15">
        <v>3</v>
      </c>
    </row>
    <row r="16" spans="1:6" ht="30.75" customHeight="1">
      <c r="A16" s="15">
        <v>6</v>
      </c>
      <c r="B16" s="15" t="s">
        <v>305</v>
      </c>
      <c r="C16" s="15" t="s">
        <v>306</v>
      </c>
      <c r="D16" s="15" t="s">
        <v>296</v>
      </c>
      <c r="E16" s="15"/>
      <c r="F16" s="15">
        <v>3</v>
      </c>
    </row>
    <row r="17" spans="1:6" ht="30.75" customHeight="1">
      <c r="A17" s="15">
        <v>7</v>
      </c>
      <c r="B17" s="15" t="s">
        <v>307</v>
      </c>
      <c r="C17" s="15" t="s">
        <v>306</v>
      </c>
      <c r="D17" s="15" t="s">
        <v>296</v>
      </c>
      <c r="E17" s="15"/>
      <c r="F17" s="15">
        <v>3</v>
      </c>
    </row>
    <row r="18" spans="1:6" ht="45.75" customHeight="1">
      <c r="A18" s="15">
        <v>8</v>
      </c>
      <c r="B18" s="15" t="s">
        <v>308</v>
      </c>
      <c r="C18" s="15" t="s">
        <v>309</v>
      </c>
      <c r="D18" s="15" t="s">
        <v>296</v>
      </c>
      <c r="E18" s="15"/>
      <c r="F18" s="15">
        <v>3</v>
      </c>
    </row>
    <row r="19" spans="1:6" ht="30.75" customHeight="1">
      <c r="A19" s="15">
        <v>9</v>
      </c>
      <c r="B19" s="15" t="s">
        <v>310</v>
      </c>
      <c r="C19" s="15" t="s">
        <v>311</v>
      </c>
      <c r="D19" s="15" t="s">
        <v>296</v>
      </c>
      <c r="E19" s="15"/>
      <c r="F19" s="15">
        <v>3</v>
      </c>
    </row>
    <row r="20" spans="1:6" ht="30.75" customHeight="1">
      <c r="A20" s="15">
        <v>10</v>
      </c>
      <c r="B20" s="15" t="s">
        <v>312</v>
      </c>
      <c r="C20" s="15" t="s">
        <v>313</v>
      </c>
      <c r="D20" s="15" t="s">
        <v>296</v>
      </c>
      <c r="E20" s="15"/>
      <c r="F20" s="15">
        <v>3</v>
      </c>
    </row>
    <row r="21" spans="1:6" ht="30.75" customHeight="1">
      <c r="A21" s="15">
        <v>11</v>
      </c>
      <c r="B21" s="15" t="s">
        <v>314</v>
      </c>
      <c r="C21" s="15" t="s">
        <v>315</v>
      </c>
      <c r="D21" s="15" t="s">
        <v>296</v>
      </c>
      <c r="E21" s="15"/>
      <c r="F21" s="15">
        <v>3</v>
      </c>
    </row>
  </sheetData>
  <mergeCells count="3">
    <mergeCell ref="B2:F2"/>
    <mergeCell ref="B4:F4"/>
    <mergeCell ref="B3:F3"/>
  </mergeCells>
  <dataValidations count="1">
    <dataValidation type="list" showErrorMessage="1" errorTitle="Ocena" error="Wybierz wartość z listy rozwijanej." promptTitle="Ocena" prompt="Wybierz z listy" sqref="D12:D200" xr:uid="{00000000-0002-0000-0500-000000000000}">
      <formula1>"OK,Kandydat na defekt,Pytanie"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Q5"/>
  <sheetViews>
    <sheetView tabSelected="1" zoomScaleNormal="100" workbookViewId="0">
      <pane xSplit="2" ySplit="1" topLeftCell="C2" activePane="bottomRight" state="frozen"/>
      <selection pane="bottomRight" activeCell="P2" sqref="P2"/>
      <selection pane="bottomLeft" activeCell="A2" sqref="A2"/>
      <selection pane="topRight" activeCell="C1" sqref="C1"/>
    </sheetView>
  </sheetViews>
  <sheetFormatPr defaultColWidth="8.7109375" defaultRowHeight="15"/>
  <cols>
    <col min="1" max="1" width="10" customWidth="1"/>
    <col min="2" max="2" width="38" customWidth="1"/>
    <col min="3" max="3" width="11" customWidth="1"/>
    <col min="4" max="4" width="13" customWidth="1"/>
    <col min="5" max="5" width="28" customWidth="1"/>
    <col min="6" max="6" width="26" customWidth="1"/>
    <col min="7" max="7" width="22" customWidth="1"/>
    <col min="8" max="8" width="44" customWidth="1"/>
    <col min="9" max="9" width="34" customWidth="1"/>
    <col min="10" max="10" width="38" customWidth="1"/>
    <col min="11" max="11" width="11" customWidth="1"/>
    <col min="12" max="12" width="10" customWidth="1"/>
    <col min="13" max="13" width="12" customWidth="1"/>
    <col min="14" max="14" width="13" customWidth="1"/>
    <col min="15" max="16" width="18" customWidth="1"/>
    <col min="17" max="17" width="32" customWidth="1"/>
  </cols>
  <sheetData>
    <row r="1" spans="1:17" ht="31.5" customHeight="1">
      <c r="A1" s="8" t="s">
        <v>62</v>
      </c>
      <c r="B1" s="8" t="s">
        <v>316</v>
      </c>
      <c r="C1" s="8" t="s">
        <v>288</v>
      </c>
      <c r="D1" s="8" t="s">
        <v>317</v>
      </c>
      <c r="E1" s="8" t="s">
        <v>318</v>
      </c>
      <c r="F1" s="8" t="s">
        <v>319</v>
      </c>
      <c r="G1" s="8" t="s">
        <v>141</v>
      </c>
      <c r="H1" s="8" t="s">
        <v>320</v>
      </c>
      <c r="I1" s="8" t="s">
        <v>144</v>
      </c>
      <c r="J1" s="8" t="s">
        <v>145</v>
      </c>
      <c r="K1" s="8" t="s">
        <v>321</v>
      </c>
      <c r="L1" s="8" t="s">
        <v>64</v>
      </c>
      <c r="M1" s="8" t="s">
        <v>322</v>
      </c>
      <c r="N1" s="8" t="s">
        <v>146</v>
      </c>
      <c r="O1" s="8" t="s">
        <v>323</v>
      </c>
      <c r="P1" s="8" t="s">
        <v>324</v>
      </c>
      <c r="Q1" s="8" t="s">
        <v>65</v>
      </c>
    </row>
    <row r="2" spans="1:17" ht="41.85" customHeight="1">
      <c r="A2" s="5" t="s">
        <v>302</v>
      </c>
      <c r="B2" s="5" t="s">
        <v>325</v>
      </c>
      <c r="C2" s="20">
        <v>46311</v>
      </c>
      <c r="D2" s="5" t="s">
        <v>159</v>
      </c>
      <c r="E2" s="5" t="s">
        <v>326</v>
      </c>
      <c r="F2" s="5" t="s">
        <v>327</v>
      </c>
      <c r="G2" s="5" t="s">
        <v>328</v>
      </c>
      <c r="H2" s="5" t="s">
        <v>329</v>
      </c>
      <c r="I2" s="5" t="s">
        <v>330</v>
      </c>
      <c r="J2" s="16" t="s">
        <v>331</v>
      </c>
      <c r="K2" s="5" t="s">
        <v>332</v>
      </c>
      <c r="L2" s="5" t="s">
        <v>333</v>
      </c>
      <c r="M2" s="5" t="s">
        <v>334</v>
      </c>
      <c r="N2" s="5" t="s">
        <v>335</v>
      </c>
      <c r="O2" s="5" t="s">
        <v>336</v>
      </c>
      <c r="P2" s="5" t="s">
        <v>337</v>
      </c>
      <c r="Q2" s="5" t="s">
        <v>338</v>
      </c>
    </row>
    <row r="3" spans="1:17" ht="60.75" customHeight="1">
      <c r="A3" s="5" t="s">
        <v>339</v>
      </c>
      <c r="B3" s="5" t="s">
        <v>340</v>
      </c>
      <c r="C3" s="20">
        <v>46311</v>
      </c>
      <c r="D3" s="5" t="s">
        <v>159</v>
      </c>
      <c r="E3" s="5" t="s">
        <v>326</v>
      </c>
      <c r="F3" s="5" t="s">
        <v>327</v>
      </c>
      <c r="G3" s="5" t="s">
        <v>328</v>
      </c>
      <c r="H3" s="5" t="s">
        <v>341</v>
      </c>
      <c r="I3" s="5" t="s">
        <v>197</v>
      </c>
      <c r="J3" s="15" t="s">
        <v>203</v>
      </c>
      <c r="K3" s="5" t="s">
        <v>332</v>
      </c>
      <c r="L3" s="5" t="s">
        <v>332</v>
      </c>
      <c r="M3" s="5" t="s">
        <v>334</v>
      </c>
      <c r="N3" s="5" t="s">
        <v>342</v>
      </c>
      <c r="O3" s="5" t="s">
        <v>343</v>
      </c>
      <c r="P3" s="5" t="s">
        <v>344</v>
      </c>
      <c r="Q3" s="5" t="s">
        <v>345</v>
      </c>
    </row>
    <row r="4" spans="1:17" ht="76.5" customHeight="1">
      <c r="A4" s="5" t="s">
        <v>179</v>
      </c>
      <c r="B4" s="5" t="s">
        <v>346</v>
      </c>
      <c r="C4" s="20">
        <v>46311</v>
      </c>
      <c r="D4" s="5" t="s">
        <v>159</v>
      </c>
      <c r="E4" s="5" t="s">
        <v>326</v>
      </c>
      <c r="F4" s="5" t="s">
        <v>327</v>
      </c>
      <c r="G4" s="5" t="s">
        <v>328</v>
      </c>
      <c r="H4" s="5" t="s">
        <v>347</v>
      </c>
      <c r="I4" s="5" t="s">
        <v>348</v>
      </c>
      <c r="J4" s="15" t="s">
        <v>349</v>
      </c>
      <c r="K4" s="5" t="s">
        <v>332</v>
      </c>
      <c r="L4" s="5" t="s">
        <v>332</v>
      </c>
      <c r="M4" s="5" t="s">
        <v>334</v>
      </c>
      <c r="N4" s="5" t="s">
        <v>335</v>
      </c>
      <c r="O4" s="5" t="s">
        <v>350</v>
      </c>
      <c r="P4" s="5" t="s">
        <v>351</v>
      </c>
      <c r="Q4" s="5" t="s">
        <v>352</v>
      </c>
    </row>
    <row r="5" spans="1:17" ht="60.75" customHeight="1">
      <c r="A5" s="5" t="s">
        <v>207</v>
      </c>
      <c r="B5" s="5" t="s">
        <v>353</v>
      </c>
      <c r="C5" s="20">
        <v>46311</v>
      </c>
      <c r="D5" s="5" t="s">
        <v>159</v>
      </c>
      <c r="E5" s="5" t="s">
        <v>326</v>
      </c>
      <c r="F5" s="5" t="s">
        <v>327</v>
      </c>
      <c r="G5" s="5" t="s">
        <v>328</v>
      </c>
      <c r="H5" s="5" t="s">
        <v>354</v>
      </c>
      <c r="I5" s="5" t="s">
        <v>355</v>
      </c>
      <c r="J5" s="15" t="s">
        <v>356</v>
      </c>
      <c r="K5" s="5" t="s">
        <v>332</v>
      </c>
      <c r="L5" s="5" t="s">
        <v>332</v>
      </c>
      <c r="M5" s="5" t="s">
        <v>334</v>
      </c>
      <c r="N5" s="5" t="s">
        <v>342</v>
      </c>
      <c r="O5" s="5" t="s">
        <v>357</v>
      </c>
      <c r="P5" s="5" t="s">
        <v>358</v>
      </c>
      <c r="Q5" s="5" t="s">
        <v>359</v>
      </c>
    </row>
  </sheetData>
  <autoFilter ref="A1:Q1" xr:uid="{00000000-0009-0000-0000-000006000000}"/>
  <dataValidations count="4">
    <dataValidation type="list" showInputMessage="1" showErrorMessage="1" errorTitle="Priorytet" error="Wybierz wartość z listy rozwijanej." promptTitle="Priorytet" prompt="Wybierz z listy" sqref="L2:L300" xr:uid="{00000000-0002-0000-0600-000000000000}">
      <formula1>"Wysoki,Średni,Niski"</formula1>
      <formula2>0</formula2>
    </dataValidation>
    <dataValidation type="list" showInputMessage="1" showErrorMessage="1" errorTitle="Powtarzalność" error="Wybierz wartość z listy rozwijanej." promptTitle="Powtarzalność" prompt="Wybierz z listy" sqref="M2:M300" xr:uid="{00000000-0002-0000-0600-000001000000}">
      <formula1>"Zawsze,Czasami,Jednorazowo"</formula1>
      <formula2>0</formula2>
    </dataValidation>
    <dataValidation type="list" showInputMessage="1" showErrorMessage="1" errorTitle="Status" error="Wybierz wartość z listy rozwijanej." promptTitle="Status" prompt="Wybierz z listy" sqref="N2:N300" xr:uid="{00000000-0002-0000-0600-000002000000}">
      <formula1>"Nowy,Otwarty,W naprawie,Naprawiony,Do retestu,Zamknięty,Odrzucony,Odroczony,Ponownie otwarty"</formula1>
      <formula2>0</formula2>
    </dataValidation>
    <dataValidation type="list" showInputMessage="1" showErrorMessage="1" errorTitle="Ważność" error="Wybierz wartość z listy rozwijanej." promptTitle="Ważność" prompt="Wybierz z listy" sqref="K2:K300" xr:uid="{00000000-0002-0000-0600-000003000000}">
      <formula1>"Krytyczna,Wysoka,Średnia,Niska"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11"/>
  <sheetViews>
    <sheetView zoomScaleNormal="100" workbookViewId="0">
      <pane ySplit="1" topLeftCell="A2" activePane="bottomLeft" state="frozen"/>
      <selection pane="bottomLeft" activeCell="E4" sqref="E4"/>
    </sheetView>
  </sheetViews>
  <sheetFormatPr defaultColWidth="8.7109375" defaultRowHeight="15"/>
  <cols>
    <col min="1" max="1" width="14" customWidth="1"/>
    <col min="2" max="2" width="21.28515625" customWidth="1"/>
    <col min="3" max="3" width="68.42578125" customWidth="1"/>
    <col min="4" max="4" width="14" customWidth="1"/>
    <col min="5" max="5" width="52" customWidth="1"/>
    <col min="6" max="6" width="20" customWidth="1"/>
  </cols>
  <sheetData>
    <row r="1" spans="1:6" ht="31.5" customHeight="1">
      <c r="A1" s="8" t="s">
        <v>37</v>
      </c>
      <c r="B1" s="8" t="s">
        <v>360</v>
      </c>
      <c r="C1" s="8" t="s">
        <v>361</v>
      </c>
      <c r="D1" s="8" t="s">
        <v>362</v>
      </c>
      <c r="E1" s="8" t="s">
        <v>363</v>
      </c>
      <c r="F1" s="8" t="s">
        <v>147</v>
      </c>
    </row>
    <row r="2" spans="1:6" ht="30.75" customHeight="1">
      <c r="A2" s="23" t="s">
        <v>364</v>
      </c>
      <c r="B2" s="23" t="s">
        <v>365</v>
      </c>
      <c r="C2" s="23" t="s">
        <v>366</v>
      </c>
      <c r="D2" s="23" t="s">
        <v>367</v>
      </c>
      <c r="E2" s="23" t="s">
        <v>368</v>
      </c>
      <c r="F2" s="16"/>
    </row>
    <row r="3" spans="1:6" ht="30.75" customHeight="1">
      <c r="A3" s="15" t="s">
        <v>369</v>
      </c>
      <c r="B3" s="15" t="s">
        <v>365</v>
      </c>
      <c r="C3" s="18" t="s">
        <v>370</v>
      </c>
      <c r="D3" s="15" t="s">
        <v>367</v>
      </c>
      <c r="E3" s="15" t="s">
        <v>371</v>
      </c>
      <c r="F3" s="15"/>
    </row>
    <row r="4" spans="1:6" ht="45.75" customHeight="1">
      <c r="A4" s="15" t="s">
        <v>372</v>
      </c>
      <c r="B4" s="15" t="s">
        <v>365</v>
      </c>
      <c r="C4" s="15" t="s">
        <v>373</v>
      </c>
      <c r="D4" s="15" t="s">
        <v>367</v>
      </c>
      <c r="E4" s="15" t="s">
        <v>368</v>
      </c>
      <c r="F4" s="15"/>
    </row>
    <row r="5" spans="1:6" ht="45.75" customHeight="1">
      <c r="A5" s="15" t="s">
        <v>374</v>
      </c>
      <c r="B5" s="15" t="s">
        <v>375</v>
      </c>
      <c r="C5" s="15" t="s">
        <v>376</v>
      </c>
      <c r="D5" s="15" t="s">
        <v>367</v>
      </c>
      <c r="E5" s="15" t="s">
        <v>377</v>
      </c>
      <c r="F5" s="15"/>
    </row>
    <row r="6" spans="1:6" ht="45.75" customHeight="1">
      <c r="A6" s="15" t="s">
        <v>378</v>
      </c>
      <c r="B6" s="15" t="s">
        <v>375</v>
      </c>
      <c r="C6" s="15" t="s">
        <v>379</v>
      </c>
      <c r="D6" s="15" t="s">
        <v>367</v>
      </c>
      <c r="E6" s="15" t="s">
        <v>380</v>
      </c>
      <c r="F6" s="15"/>
    </row>
    <row r="7" spans="1:6" ht="30.75" customHeight="1">
      <c r="A7" s="15" t="s">
        <v>381</v>
      </c>
      <c r="B7" s="15" t="s">
        <v>382</v>
      </c>
      <c r="C7" s="15" t="s">
        <v>383</v>
      </c>
      <c r="D7" s="15" t="s">
        <v>367</v>
      </c>
      <c r="E7" s="15" t="s">
        <v>384</v>
      </c>
      <c r="F7" s="15"/>
    </row>
    <row r="8" spans="1:6" ht="30.75" customHeight="1">
      <c r="A8" s="15" t="s">
        <v>385</v>
      </c>
      <c r="B8" s="15" t="s">
        <v>382</v>
      </c>
      <c r="C8" s="15" t="s">
        <v>386</v>
      </c>
      <c r="D8" s="15" t="s">
        <v>367</v>
      </c>
      <c r="E8" s="15" t="s">
        <v>387</v>
      </c>
      <c r="F8" s="15"/>
    </row>
    <row r="9" spans="1:6" ht="30.75" customHeight="1">
      <c r="A9" s="15" t="s">
        <v>388</v>
      </c>
      <c r="B9" s="15" t="s">
        <v>389</v>
      </c>
      <c r="C9" s="15" t="s">
        <v>390</v>
      </c>
      <c r="D9" s="15" t="s">
        <v>367</v>
      </c>
      <c r="E9" s="15" t="s">
        <v>391</v>
      </c>
      <c r="F9" s="15"/>
    </row>
    <row r="10" spans="1:6" ht="30.75" customHeight="1">
      <c r="A10" s="15" t="s">
        <v>392</v>
      </c>
      <c r="B10" s="15" t="s">
        <v>365</v>
      </c>
      <c r="C10" s="15" t="s">
        <v>393</v>
      </c>
      <c r="D10" s="15" t="s">
        <v>394</v>
      </c>
      <c r="E10" s="15" t="s">
        <v>395</v>
      </c>
      <c r="F10" s="15" t="s">
        <v>207</v>
      </c>
    </row>
    <row r="11" spans="1:6" ht="30.75" customHeight="1">
      <c r="A11" s="15" t="s">
        <v>396</v>
      </c>
      <c r="B11" s="15" t="s">
        <v>389</v>
      </c>
      <c r="C11" s="15" t="s">
        <v>397</v>
      </c>
      <c r="D11" s="15" t="s">
        <v>394</v>
      </c>
      <c r="E11" s="15" t="s">
        <v>398</v>
      </c>
      <c r="F11" s="15" t="s">
        <v>399</v>
      </c>
    </row>
  </sheetData>
  <autoFilter ref="A1:F1" xr:uid="{00000000-0009-0000-0000-000007000000}"/>
  <dataValidations count="1">
    <dataValidation type="list" showInputMessage="1" showErrorMessage="1" errorTitle="Wynik" error="Wybierz wartość z listy rozwijanej." promptTitle="Wynik" prompt="Wybierz z listy" sqref="D2:D300" xr:uid="{00000000-0002-0000-0700-000000000000}">
      <formula1>"Tak,Nie,Nie dotyczy,Nie sprawdzono"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C37"/>
  <sheetViews>
    <sheetView zoomScaleNormal="100" workbookViewId="0">
      <pane ySplit="1" topLeftCell="A2" activePane="bottomLeft" state="frozen"/>
      <selection pane="bottomLeft" activeCell="C37" sqref="C37"/>
    </sheetView>
  </sheetViews>
  <sheetFormatPr defaultColWidth="8.7109375" defaultRowHeight="15"/>
  <cols>
    <col min="1" max="1" width="42" customWidth="1"/>
    <col min="2" max="2" width="22" customWidth="1"/>
    <col min="3" max="3" width="80" customWidth="1"/>
  </cols>
  <sheetData>
    <row r="1" spans="1:3" ht="31.5" customHeight="1">
      <c r="A1" s="8" t="s">
        <v>400</v>
      </c>
      <c r="B1" s="8" t="s">
        <v>401</v>
      </c>
      <c r="C1" s="8" t="s">
        <v>402</v>
      </c>
    </row>
    <row r="2" spans="1:3">
      <c r="A2" s="11" t="s">
        <v>403</v>
      </c>
      <c r="B2" s="12"/>
      <c r="C2" s="12"/>
    </row>
    <row r="3" spans="1:3">
      <c r="A3" s="13" t="s">
        <v>404</v>
      </c>
      <c r="B3" s="26">
        <v>174919</v>
      </c>
      <c r="C3" s="9"/>
    </row>
    <row r="4" spans="1:3">
      <c r="A4" s="13" t="s">
        <v>405</v>
      </c>
      <c r="B4" s="9" t="s">
        <v>406</v>
      </c>
      <c r="C4" s="9"/>
    </row>
    <row r="5" spans="1:3">
      <c r="A5" s="13" t="s">
        <v>407</v>
      </c>
      <c r="B5" s="25">
        <v>46311</v>
      </c>
      <c r="C5" s="9"/>
    </row>
    <row r="6" spans="1:3">
      <c r="A6" s="13" t="s">
        <v>408</v>
      </c>
      <c r="B6" s="9" t="s">
        <v>159</v>
      </c>
      <c r="C6" s="9"/>
    </row>
    <row r="7" spans="1:3">
      <c r="A7" s="11" t="s">
        <v>409</v>
      </c>
      <c r="B7" s="12"/>
      <c r="C7" s="12"/>
    </row>
    <row r="8" spans="1:3">
      <c r="A8" s="13" t="s">
        <v>410</v>
      </c>
      <c r="B8" s="9">
        <f>COUNTA('Przypadki testowe'!A2:A300)</f>
        <v>15</v>
      </c>
      <c r="C8" s="9"/>
    </row>
    <row r="9" spans="1:3">
      <c r="A9" s="13" t="s">
        <v>250</v>
      </c>
      <c r="B9" s="9">
        <f>COUNTIF('Przypadki testowe'!K2:K300,"Zaliczony")</f>
        <v>11</v>
      </c>
      <c r="C9" s="9"/>
    </row>
    <row r="10" spans="1:3">
      <c r="A10" s="13" t="s">
        <v>251</v>
      </c>
      <c r="B10" s="9">
        <f>COUNTIF('Przypadki testowe'!K2:K300,"Niezaliczony")</f>
        <v>4</v>
      </c>
      <c r="C10" s="9"/>
    </row>
    <row r="11" spans="1:3">
      <c r="A11" s="13" t="s">
        <v>411</v>
      </c>
      <c r="B11" s="9">
        <f>COUNTIF('Przypadki testowe'!K2:K300,"Zablokowany")</f>
        <v>0</v>
      </c>
      <c r="C11" s="9"/>
    </row>
    <row r="12" spans="1:3">
      <c r="A12" s="13" t="s">
        <v>412</v>
      </c>
      <c r="B12" s="9">
        <f>COUNTIF('Przypadki testowe'!K2:K300,"Pominięty")</f>
        <v>0</v>
      </c>
      <c r="C12" s="9"/>
    </row>
    <row r="13" spans="1:3">
      <c r="A13" s="13" t="s">
        <v>413</v>
      </c>
      <c r="B13" s="9">
        <f>COUNTIF('Przypadki testowe'!K2:K300,"Nie wykonano")</f>
        <v>0</v>
      </c>
      <c r="C13" s="9"/>
    </row>
    <row r="14" spans="1:3">
      <c r="A14" s="13" t="s">
        <v>414</v>
      </c>
      <c r="B14" s="14">
        <f>IFERROR((B9+B10)/B8,0)</f>
        <v>1</v>
      </c>
      <c r="C14" s="9"/>
    </row>
    <row r="15" spans="1:3">
      <c r="A15" s="13" t="s">
        <v>415</v>
      </c>
      <c r="B15" s="14">
        <f>IFERROR(B9/(B9+B10),0)</f>
        <v>0.73333333333333328</v>
      </c>
      <c r="C15" s="9"/>
    </row>
    <row r="16" spans="1:3">
      <c r="A16" s="11" t="s">
        <v>416</v>
      </c>
      <c r="B16" s="12"/>
      <c r="C16" s="12"/>
    </row>
    <row r="17" spans="1:3">
      <c r="A17" s="13" t="s">
        <v>417</v>
      </c>
      <c r="B17" s="9">
        <f>COUNTA('Macierz śledzenia'!A2:A300)</f>
        <v>15</v>
      </c>
      <c r="C17" s="9"/>
    </row>
    <row r="18" spans="1:3">
      <c r="A18" s="13" t="s">
        <v>418</v>
      </c>
      <c r="B18" s="9">
        <f>COUNTIF('Macierz śledzenia'!H2:H300,"Pokryte")</f>
        <v>11</v>
      </c>
      <c r="C18" s="9"/>
    </row>
    <row r="19" spans="1:3">
      <c r="A19" s="13" t="s">
        <v>419</v>
      </c>
      <c r="B19" s="14">
        <f>IFERROR(B18/B17,0)</f>
        <v>0.73333333333333328</v>
      </c>
      <c r="C19" s="9"/>
    </row>
    <row r="20" spans="1:3">
      <c r="A20" s="11" t="s">
        <v>420</v>
      </c>
      <c r="B20" s="12"/>
      <c r="C20" s="12"/>
    </row>
    <row r="21" spans="1:3">
      <c r="A21" s="13" t="s">
        <v>421</v>
      </c>
      <c r="B21" s="9">
        <f>COUNTA('Lista kontrolna'!A2:A300)</f>
        <v>10</v>
      </c>
      <c r="C21" s="9"/>
    </row>
    <row r="22" spans="1:3">
      <c r="A22" s="13" t="s">
        <v>422</v>
      </c>
      <c r="B22" s="9">
        <f>COUNTIF('Lista kontrolna'!D2:D300,"Tak")</f>
        <v>8</v>
      </c>
      <c r="C22" s="9"/>
    </row>
    <row r="23" spans="1:3">
      <c r="A23" s="13" t="s">
        <v>423</v>
      </c>
      <c r="B23" s="9">
        <f>COUNTIF('Lista kontrolna'!D2:D300,"Nie")</f>
        <v>2</v>
      </c>
      <c r="C23" s="9"/>
    </row>
    <row r="24" spans="1:3">
      <c r="A24" s="13" t="s">
        <v>424</v>
      </c>
      <c r="B24" s="9">
        <f>COUNTIF('Lista kontrolna'!D2:D300,"Nie dotyczy")+COUNTIF('Lista kontrolna'!D2:D300,"Nie sprawdzono")</f>
        <v>0</v>
      </c>
      <c r="C24" s="9"/>
    </row>
    <row r="25" spans="1:3">
      <c r="A25" s="11" t="s">
        <v>425</v>
      </c>
      <c r="B25" s="12"/>
      <c r="C25" s="12"/>
    </row>
    <row r="26" spans="1:3">
      <c r="A26" s="13" t="s">
        <v>426</v>
      </c>
      <c r="B26" s="9">
        <f>COUNTA('Raporty defektów'!A2:A300)</f>
        <v>4</v>
      </c>
      <c r="C26" s="9"/>
    </row>
    <row r="27" spans="1:3">
      <c r="A27" s="13" t="s">
        <v>427</v>
      </c>
      <c r="B27" s="9">
        <f>COUNTIF('Raporty defektów'!K2:K300,"Krytyczna")</f>
        <v>0</v>
      </c>
      <c r="C27" s="9"/>
    </row>
    <row r="28" spans="1:3">
      <c r="A28" s="13" t="s">
        <v>428</v>
      </c>
      <c r="B28" s="9">
        <f>COUNTIF('Raporty defektów'!K2:K300,"Wysoka")</f>
        <v>4</v>
      </c>
      <c r="C28" s="9"/>
    </row>
    <row r="29" spans="1:3">
      <c r="A29" s="13" t="s">
        <v>429</v>
      </c>
      <c r="B29" s="9">
        <f>COUNTIF('Raporty defektów'!K2:K300,"Średnia")</f>
        <v>0</v>
      </c>
      <c r="C29" s="9"/>
    </row>
    <row r="30" spans="1:3">
      <c r="A30" s="13" t="s">
        <v>430</v>
      </c>
      <c r="B30" s="9">
        <f>COUNTIF('Raporty defektów'!K2:K300,"Niska")</f>
        <v>0</v>
      </c>
      <c r="C30" s="9"/>
    </row>
    <row r="31" spans="1:3">
      <c r="A31" s="13" t="s">
        <v>431</v>
      </c>
      <c r="B31" s="9">
        <f>B26-COUNTIF('Raporty defektów'!N2:N300,"Zamknięty")-COUNTIF('Raporty defektów'!N2:N300,"Odrzucony")</f>
        <v>4</v>
      </c>
      <c r="C31" s="9"/>
    </row>
    <row r="32" spans="1:3">
      <c r="A32" s="11" t="s">
        <v>432</v>
      </c>
      <c r="B32" s="12"/>
      <c r="C32" s="12"/>
    </row>
    <row r="33" spans="1:3" ht="45.75" customHeight="1">
      <c r="A33" s="13" t="s">
        <v>433</v>
      </c>
      <c r="B33" s="9"/>
      <c r="C33" s="9" t="s">
        <v>434</v>
      </c>
    </row>
    <row r="34" spans="1:3" ht="60.75" customHeight="1">
      <c r="A34" s="13" t="s">
        <v>435</v>
      </c>
      <c r="B34" s="9"/>
      <c r="C34" s="9" t="s">
        <v>436</v>
      </c>
    </row>
    <row r="35" spans="1:3" ht="60.75" customHeight="1">
      <c r="A35" s="13" t="s">
        <v>437</v>
      </c>
      <c r="B35" s="9"/>
      <c r="C35" s="9" t="s">
        <v>438</v>
      </c>
    </row>
    <row r="36" spans="1:3" ht="30.75" customHeight="1">
      <c r="A36" s="13" t="s">
        <v>439</v>
      </c>
      <c r="B36" s="9"/>
      <c r="C36" s="9" t="s">
        <v>440</v>
      </c>
    </row>
    <row r="37" spans="1:3" ht="30.75" customHeight="1">
      <c r="A37" s="13" t="s">
        <v>441</v>
      </c>
      <c r="B37" s="9"/>
      <c r="C37" s="9" t="s">
        <v>442</v>
      </c>
    </row>
  </sheetData>
  <autoFilter ref="A1:C1" xr:uid="{00000000-0009-0000-0000-000008000000}"/>
  <dataValidations count="1">
    <dataValidation type="list" showInputMessage="1" showErrorMessage="1" errorTitle="Kryteria wyjścia" error="Wybierz wartość z listy rozwijanej." promptTitle="Kryteria wyjścia" prompt="Wybierz z listy" sqref="B35" xr:uid="{00000000-0002-0000-0800-000000000000}">
      <formula1>"Tak,Nie,Częściowo"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2026-09-27T06:27:38Z</dcterms:created>
  <dcterms:modified xsi:type="dcterms:W3CDTF">2026-10-17T14:18:59Z</dcterms:modified>
  <cp:category/>
  <cp:contentStatus/>
</cp:coreProperties>
</file>